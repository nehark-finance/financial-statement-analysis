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58854FC9-C5B9-4091-8FFF-29AA1B43D10D}" xr6:coauthVersionLast="47" xr6:coauthVersionMax="47" xr10:uidLastSave="{00000000-0000-0000-0000-000000000000}"/>
  <bookViews>
    <workbookView xWindow="240" yWindow="105" windowWidth="14805" windowHeight="8010" firstSheet="7" activeTab="11" xr2:uid="{00000000-000D-0000-FFFF-FFFF00000000}"/>
  </bookViews>
  <sheets>
    <sheet name="01_Cover" sheetId="1" r:id="rId1"/>
    <sheet name="02_Source_Register" sheetId="2" r:id="rId2"/>
    <sheet name="03_Raw_Income_Statement" sheetId="3" r:id="rId3"/>
    <sheet name="04_Raw_Balance_Sheet" sheetId="5" r:id="rId4"/>
    <sheet name="05_Raw_Cash_Flow" sheetId="6" r:id="rId5"/>
    <sheet name="06_Standardized_P&amp;L" sheetId="4" r:id="rId6"/>
    <sheet name=" 07_Standardized_Balance_Sheet" sheetId="7" r:id="rId7"/>
    <sheet name="08_Standardized_Cash_Flow" sheetId="8" r:id="rId8"/>
    <sheet name="09_Ratio_Analysis" sheetId="9" r:id="rId9"/>
    <sheet name="10_Trend_Analysis" sheetId="10" r:id="rId10"/>
    <sheet name="11_Dashboard_Data" sheetId="11" r:id="rId11"/>
    <sheet name="12_Dashboard"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 i="9" l="1"/>
  <c r="F2" i="9"/>
  <c r="F3" i="9"/>
  <c r="F5" i="9"/>
  <c r="F6" i="9"/>
  <c r="F7" i="9"/>
  <c r="F8" i="9"/>
  <c r="F9" i="9"/>
  <c r="F10" i="9"/>
  <c r="F11" i="9"/>
  <c r="F12" i="9"/>
  <c r="F13" i="9"/>
  <c r="E4" i="9"/>
  <c r="C4" i="9"/>
  <c r="C2" i="9"/>
  <c r="D12" i="4"/>
  <c r="C3" i="9"/>
  <c r="D3" i="9"/>
  <c r="E3" i="9"/>
  <c r="D4" i="9"/>
  <c r="D2" i="9"/>
  <c r="E2" i="9"/>
  <c r="C12" i="9"/>
  <c r="E12" i="9"/>
  <c r="D12" i="9"/>
  <c r="D9" i="9"/>
  <c r="D6" i="9"/>
  <c r="E6" i="9"/>
  <c r="D7" i="9"/>
  <c r="E7" i="9"/>
  <c r="D8" i="9"/>
  <c r="E8" i="9"/>
  <c r="E9" i="9"/>
  <c r="D10" i="9"/>
  <c r="E10" i="9"/>
  <c r="D11" i="9"/>
  <c r="E11" i="9"/>
  <c r="D13" i="9"/>
  <c r="E13" i="9"/>
  <c r="C13" i="9"/>
  <c r="C10" i="9"/>
  <c r="C9" i="9"/>
  <c r="C11" i="9"/>
  <c r="C8" i="9"/>
  <c r="C7" i="9"/>
  <c r="C6" i="9"/>
  <c r="D5" i="9"/>
  <c r="E5" i="9"/>
  <c r="C5" i="9"/>
  <c r="C10" i="4"/>
  <c r="D10" i="4"/>
  <c r="B10" i="4"/>
  <c r="C7" i="4"/>
  <c r="D7" i="4"/>
  <c r="B7" i="4"/>
  <c r="C22" i="7"/>
  <c r="D22" i="7"/>
  <c r="B22" i="7"/>
  <c r="C14" i="7"/>
  <c r="D14" i="7"/>
  <c r="B14" i="7"/>
  <c r="C12" i="7"/>
  <c r="D12" i="7"/>
  <c r="B12" i="7"/>
  <c r="C6" i="7"/>
  <c r="D6" i="7"/>
  <c r="B6" i="7"/>
  <c r="C23" i="8"/>
  <c r="D23" i="8"/>
  <c r="B23" i="8"/>
  <c r="C21" i="8"/>
  <c r="D21" i="8"/>
  <c r="B21" i="8"/>
  <c r="C19" i="8"/>
  <c r="D19" i="8"/>
  <c r="B19" i="8"/>
  <c r="C17" i="8"/>
  <c r="D17" i="8"/>
  <c r="B17" i="8"/>
  <c r="C10" i="8"/>
  <c r="D10" i="8"/>
  <c r="B10" i="8"/>
  <c r="C9" i="8"/>
  <c r="D9" i="8"/>
  <c r="B9" i="8"/>
  <c r="C6" i="8"/>
  <c r="D6" i="8"/>
  <c r="B6" i="8"/>
  <c r="C21" i="7"/>
  <c r="D21" i="7"/>
  <c r="B21" i="7"/>
  <c r="C2" i="4"/>
  <c r="D2" i="4"/>
  <c r="C3" i="4"/>
  <c r="D3" i="4"/>
  <c r="C4" i="4"/>
  <c r="D4" i="4"/>
  <c r="C5" i="4"/>
  <c r="D5" i="4"/>
  <c r="C6" i="4"/>
  <c r="D6" i="4"/>
  <c r="C8" i="4"/>
  <c r="D8" i="4"/>
  <c r="C9" i="4"/>
  <c r="D9" i="4"/>
  <c r="C11" i="4"/>
  <c r="D11" i="4"/>
  <c r="C12" i="4"/>
  <c r="B11" i="4"/>
  <c r="B12" i="4"/>
  <c r="B9" i="4"/>
  <c r="B8" i="4"/>
  <c r="B6" i="4"/>
  <c r="B5" i="4"/>
  <c r="B4" i="4"/>
  <c r="B3" i="4"/>
  <c r="B2" i="4"/>
</calcChain>
</file>

<file path=xl/sharedStrings.xml><?xml version="1.0" encoding="utf-8"?>
<sst xmlns="http://schemas.openxmlformats.org/spreadsheetml/2006/main" count="527" uniqueCount="279">
  <si>
    <t>Inter IKEA Group</t>
  </si>
  <si>
    <t>Financial Performance Analysis</t>
  </si>
  <si>
    <t>FY23–FY25</t>
  </si>
  <si>
    <t>Prepared by</t>
  </si>
  <si>
    <t>Neha R K</t>
  </si>
  <si>
    <t>Project type</t>
  </si>
  <si>
    <t>Independent Portfolio Case Study</t>
  </si>
  <si>
    <t>Reporting currency</t>
  </si>
  <si>
    <t>EUR millions</t>
  </si>
  <si>
    <t>Financial year-end</t>
  </si>
  <si>
    <t>Status</t>
  </si>
  <si>
    <t>In Progress</t>
  </si>
  <si>
    <t>*This independent educational case study uses publicly available information. It is not affiliated with or endorsed by Inter IKEA Group.</t>
  </si>
  <si>
    <t>Source ID</t>
  </si>
  <si>
    <t>Report</t>
  </si>
  <si>
    <t>Year</t>
  </si>
  <si>
    <t>Pages</t>
  </si>
  <si>
    <t>AR-23</t>
  </si>
  <si>
    <t>Annual Report</t>
  </si>
  <si>
    <t>FY23</t>
  </si>
  <si>
    <t>TBD</t>
  </si>
  <si>
    <t>Pending</t>
  </si>
  <si>
    <t>AR-24</t>
  </si>
  <si>
    <t>FY24</t>
  </si>
  <si>
    <t>AR-25</t>
  </si>
  <si>
    <t>FY25</t>
  </si>
  <si>
    <t>Line Item</t>
  </si>
  <si>
    <t>FY23 Page</t>
  </si>
  <si>
    <t>FY24 Page</t>
  </si>
  <si>
    <t>FY25 Page</t>
  </si>
  <si>
    <t>Notes</t>
  </si>
  <si>
    <t>Net turnover</t>
  </si>
  <si>
    <t>Change in inventory of finished goods</t>
  </si>
  <si>
    <t>Other operating income</t>
  </si>
  <si>
    <t>Total operating income</t>
  </si>
  <si>
    <t>Note 17</t>
  </si>
  <si>
    <t>Cost of raw materials and consumables</t>
  </si>
  <si>
    <t>Cost of outsourced work and other external costs</t>
  </si>
  <si>
    <t>Salaries and wages</t>
  </si>
  <si>
    <t>Social charges</t>
  </si>
  <si>
    <t>Pension expenses</t>
  </si>
  <si>
    <t>Depreciation and amortisation</t>
  </si>
  <si>
    <t>Impairments of fixed assets</t>
  </si>
  <si>
    <t>Other operating expenses</t>
  </si>
  <si>
    <t>Total operating expenses</t>
  </si>
  <si>
    <t>Operating result</t>
  </si>
  <si>
    <t>Financial income</t>
  </si>
  <si>
    <t>Note 19</t>
  </si>
  <si>
    <t>Financial expense</t>
  </si>
  <si>
    <t>Financial income and expense</t>
  </si>
  <si>
    <t>Result before tax</t>
  </si>
  <si>
    <t>Income tax</t>
  </si>
  <si>
    <t>Note 20</t>
  </si>
  <si>
    <t>Share of results from participating interests</t>
  </si>
  <si>
    <t>Net result</t>
  </si>
  <si>
    <t>Fixed Assets</t>
  </si>
  <si>
    <t>Intangible Fixed Assets</t>
  </si>
  <si>
    <t>Note 4</t>
  </si>
  <si>
    <t>Tangible Fixed Assets</t>
  </si>
  <si>
    <t>Note 5</t>
  </si>
  <si>
    <t>Financial Fixed Assets</t>
  </si>
  <si>
    <t>Note 6</t>
  </si>
  <si>
    <t>Total Fixed Assets</t>
  </si>
  <si>
    <t>Reported Total</t>
  </si>
  <si>
    <t>Current Assets</t>
  </si>
  <si>
    <t>Inventories</t>
  </si>
  <si>
    <t>Note 7</t>
  </si>
  <si>
    <t>Trade and Other Receivables</t>
  </si>
  <si>
    <t>Note 8</t>
  </si>
  <si>
    <t>Cash and Cash Equivalents</t>
  </si>
  <si>
    <t>Note 9</t>
  </si>
  <si>
    <t>Total Current Assets</t>
  </si>
  <si>
    <t>TOTAL ASSETS</t>
  </si>
  <si>
    <t>Group Equity</t>
  </si>
  <si>
    <t>Note 10</t>
  </si>
  <si>
    <t>Provisions</t>
  </si>
  <si>
    <t>Note 11</t>
  </si>
  <si>
    <t>Non-current Liabilities</t>
  </si>
  <si>
    <t>Note 13</t>
  </si>
  <si>
    <t>Current Liabilities</t>
  </si>
  <si>
    <t>Note 14</t>
  </si>
  <si>
    <t>TOTAL EQUITY AND LIABILITIES</t>
  </si>
  <si>
    <t>Operating Result</t>
  </si>
  <si>
    <t>Depreciation / Amortisation</t>
  </si>
  <si>
    <t>Note 4,5</t>
  </si>
  <si>
    <t>Impairments</t>
  </si>
  <si>
    <t>Other Value Adjustments</t>
  </si>
  <si>
    <t>Changes in Provisions</t>
  </si>
  <si>
    <t>Changes in Financial Fixed Assets</t>
  </si>
  <si>
    <t>Changes in Working Capital</t>
  </si>
  <si>
    <t>Working Capital</t>
  </si>
  <si>
    <t>Cash Flow from Business Operations</t>
  </si>
  <si>
    <t>Interest Received</t>
  </si>
  <si>
    <t>Finance Income</t>
  </si>
  <si>
    <t>Interest Paid</t>
  </si>
  <si>
    <t>Finance Expense</t>
  </si>
  <si>
    <t>Income Tax Paid</t>
  </si>
  <si>
    <t>Tax Paid</t>
  </si>
  <si>
    <t>Cash Flow from Operating Activities</t>
  </si>
  <si>
    <t>Investments In:</t>
  </si>
  <si>
    <t>Acquisition of Companies</t>
  </si>
  <si>
    <t>Disposals Of:</t>
  </si>
  <si>
    <t>Issuance of Loans Receivable</t>
  </si>
  <si>
    <t>Repayment of Loans Receivable</t>
  </si>
  <si>
    <t>Cash Flow from Investing Activities</t>
  </si>
  <si>
    <t>Repayment of Long-term Financing</t>
  </si>
  <si>
    <t>Short-term Financing</t>
  </si>
  <si>
    <t>Dividend Paid</t>
  </si>
  <si>
    <t>Capital Contribution</t>
  </si>
  <si>
    <t>Cash Flow from Financing Activities</t>
  </si>
  <si>
    <t>Net Cash Flow</t>
  </si>
  <si>
    <t>Exchange Rate &amp; Translation Differences</t>
  </si>
  <si>
    <t>Reported</t>
  </si>
  <si>
    <t>Changes in Cash &amp; Cash Equivalents</t>
  </si>
  <si>
    <t>Cash at Beginning of Year</t>
  </si>
  <si>
    <t>Cash at End of Year</t>
  </si>
  <si>
    <t>Net Movement in Cash</t>
  </si>
  <si>
    <t>Operating Income</t>
  </si>
  <si>
    <t>Cost of Raw Materials</t>
  </si>
  <si>
    <t>Personnel Expenses</t>
  </si>
  <si>
    <r>
      <t xml:space="preserve">Derived (Salaries + Social Charges + Pension) </t>
    </r>
    <r>
      <rPr>
        <i/>
        <sz val="11"/>
        <color theme="1"/>
        <rFont val="Calibri"/>
        <family val="2"/>
        <scheme val="minor"/>
      </rPr>
      <t>(only in the standardized sheet)</t>
    </r>
  </si>
  <si>
    <t>Depreciation &amp; Amortisation</t>
  </si>
  <si>
    <t>Other Operating Expenses</t>
  </si>
  <si>
    <t>Financial Income</t>
  </si>
  <si>
    <t>Financial Expenses</t>
  </si>
  <si>
    <t>Profit Before Tax</t>
  </si>
  <si>
    <t>Income Tax</t>
  </si>
  <si>
    <t>Net Profit</t>
  </si>
  <si>
    <t>Non-current Assets</t>
  </si>
  <si>
    <t>Intangible Assets</t>
  </si>
  <si>
    <t>Property, Plant &amp; Equipment (Tangible Assets)</t>
  </si>
  <si>
    <t>Financial Assets</t>
  </si>
  <si>
    <t>Total Non-current Assets</t>
  </si>
  <si>
    <t>Inventory</t>
  </si>
  <si>
    <t>Trade &amp; Other Receivables</t>
  </si>
  <si>
    <t>Cash &amp; Cash Equivalents</t>
  </si>
  <si>
    <t>Equity &amp; Liabilities</t>
  </si>
  <si>
    <t>Equity</t>
  </si>
  <si>
    <t>Note 12</t>
  </si>
  <si>
    <t>Total Liabilities</t>
  </si>
  <si>
    <t>TOTAL EQUITY &amp; LIABILITIES</t>
  </si>
  <si>
    <t>Operating Activities</t>
  </si>
  <si>
    <t>Investing Activities</t>
  </si>
  <si>
    <t>Capital Expenditure (Intangible + Tangible Assets)</t>
  </si>
  <si>
    <t>Disposal of Assets</t>
  </si>
  <si>
    <t>Net Loans Receivable</t>
  </si>
  <si>
    <t>Financing Activities</t>
  </si>
  <si>
    <t>Long-term Financing</t>
  </si>
  <si>
    <t>Exchange Rate Differences</t>
  </si>
  <si>
    <t>Net Change in Cash</t>
  </si>
  <si>
    <t>Ratio</t>
  </si>
  <si>
    <t>Formula</t>
  </si>
  <si>
    <t>FY23→FY25 Change</t>
  </si>
  <si>
    <t>Gross Margin</t>
  </si>
  <si>
    <t>(Net Turnover - Cost of Raw Materials)÷ Net Turnover</t>
  </si>
  <si>
    <t>Operating Margin</t>
  </si>
  <si>
    <t>Operating Result ÷ Operating Income</t>
  </si>
  <si>
    <t>Net Profit Margin</t>
  </si>
  <si>
    <t>Net Profit ÷ Operating Income</t>
  </si>
  <si>
    <t>Current Ratio</t>
  </si>
  <si>
    <t>Current Assets ÷ Current Liabilities</t>
  </si>
  <si>
    <t>Quick Ratio</t>
  </si>
  <si>
    <t>(Current Assets − Inventory) ÷ Current Liabilities</t>
  </si>
  <si>
    <t>Debt to Equity</t>
  </si>
  <si>
    <t>Total Liabilities ÷ Equity</t>
  </si>
  <si>
    <t>Equity Ratio</t>
  </si>
  <si>
    <t>Equity ÷ Total Assets</t>
  </si>
  <si>
    <t>ROA</t>
  </si>
  <si>
    <t>Net Profit ÷ Total Assets</t>
  </si>
  <si>
    <t>ROE</t>
  </si>
  <si>
    <t>Net Profit ÷ Equity</t>
  </si>
  <si>
    <t>Asset Turnover</t>
  </si>
  <si>
    <t>Operating Income ÷ Total Assets</t>
  </si>
  <si>
    <t>Inventory Turnover</t>
  </si>
  <si>
    <t>Cost of Raw Materials ÷ Average Inventory</t>
  </si>
  <si>
    <t>Cash Conversion Ratio</t>
  </si>
  <si>
    <t>Operating Cash Flow ÷ Net Profit</t>
  </si>
  <si>
    <t xml:space="preserve">* In FY 2022 Inventory </t>
  </si>
  <si>
    <t>Category</t>
  </si>
  <si>
    <t>KPI</t>
  </si>
  <si>
    <t>FY23–FY25 Change</t>
  </si>
  <si>
    <t>Trend</t>
  </si>
  <si>
    <t>Analyst Interpretation</t>
  </si>
  <si>
    <t>Income statement trends</t>
  </si>
  <si>
    <t>Growth</t>
  </si>
  <si>
    <t>Net Turnover</t>
  </si>
  <si>
    <t>Continuous decline</t>
  </si>
  <si>
    <t>Net turnover declined in both FY24 and FY25, indicating weaker sales performance over the three-year period.</t>
  </si>
  <si>
    <t>Profitability</t>
  </si>
  <si>
    <t>Peaked in FY24, then declined</t>
  </si>
  <si>
    <t>Operating profit improved slightly in FY24 but fell sharply in FY25, suggesting increased pressure on operating profitability.</t>
  </si>
  <si>
    <t>Net profit reached its highest level in FY24 before falling below the FY23 level in FY25.</t>
  </si>
  <si>
    <t>Improved, then normalized</t>
  </si>
  <si>
    <t>Gross margin expanded in FY24 but returned close to the FY23 level in FY25 as raw-material costs increased relative to turnover.</t>
  </si>
  <si>
    <t>The FY25 decline indicates weaker operating efficiency and reduced profit generated from operating income.</t>
  </si>
  <si>
    <t>Improved, then declined</t>
  </si>
  <si>
    <t>Net margin improved significantly in FY24 but weakened in FY25, remaining only slightly above FY23.</t>
  </si>
  <si>
    <t>The company generated a lower return from its asset base in FY25.</t>
  </si>
  <si>
    <t>Returns generated on equity weakened in FY25 and fell below the FY23 level.</t>
  </si>
  <si>
    <t>Balance sheet and efficiency trends</t>
  </si>
  <si>
    <t>Liquidity</t>
  </si>
  <si>
    <t>Improved, then moderated</t>
  </si>
  <si>
    <t>Short-term liquidity strengthened substantially in FY24 and remained strong in FY25 despite a slight reduction.</t>
  </si>
  <si>
    <t>Liquid assets remained sufficient to cover current liabilities, although liquidity weakened from the FY24 peak.</t>
  </si>
  <si>
    <t>Solvency</t>
  </si>
  <si>
    <t>Debt-to-Equity</t>
  </si>
  <si>
    <t>Lower overall</t>
  </si>
  <si>
    <t>The reduction is favourable because it indicates lower liabilities relative to equity and less financial leverage.</t>
  </si>
  <si>
    <t>Improved and stabilized</t>
  </si>
  <si>
    <t>A larger proportion of assets was financed through equity, indicating a strong capital structure.</t>
  </si>
  <si>
    <t>Efficiency</t>
  </si>
  <si>
    <t>Slight decline, then stable</t>
  </si>
  <si>
    <t>Asset utilization weakened slightly because operating income declined faster than the asset base.</t>
  </si>
  <si>
    <t>Gradual improvement</t>
  </si>
  <si>
    <t>Inventory moved more efficiently over the period, with a small further improvement in FY25.</t>
  </si>
  <si>
    <t>Cash-flow trends</t>
  </si>
  <si>
    <t>Cash Flow</t>
  </si>
  <si>
    <t>Operating Cash Flow</t>
  </si>
  <si>
    <t>Peaked in FY24, then fell sharply</t>
  </si>
  <si>
    <t>Cash generated from operations deteriorated significantly in FY25, mainly reflecting adverse working-capital movement.</t>
  </si>
  <si>
    <t>FY25 operating cash flow was lower than net profit, indicating weaker conversion of accounting earnings into cash.</t>
  </si>
  <si>
    <t>Investing Cash Flow</t>
  </si>
  <si>
    <t>More negative</t>
  </si>
  <si>
    <t>Higher outflow in FY25</t>
  </si>
  <si>
    <t>Investing outflows increased significantly in FY25, primarily because of higher capital expenditure.</t>
  </si>
  <si>
    <t>Financing Cash Flow</t>
  </si>
  <si>
    <t>Volatile</t>
  </si>
  <si>
    <t>Significant yearly fluctuation</t>
  </si>
  <si>
    <t>Financing cash flows varied considerably due to changes in short-term financing, capital contributions and dividends.</t>
  </si>
  <si>
    <t>Cash at Year-End</t>
  </si>
  <si>
    <t>Rose sharply, then declined</t>
  </si>
  <si>
    <t>Cash remained substantially above FY23, although the balance declined in FY25 following negative net cash flow.</t>
  </si>
  <si>
    <t>Overall Three-Year Financial Trend</t>
  </si>
  <si>
    <t>Inter IKEA Group experienced declining net turnover between FY23 and FY25. Profitability improved in FY24 but weakened materially in FY25, as reflected in lower operating margin, ROA and ROE. The balance sheet remained financially strong, supported by high liquidity, a reduced debt-to-equity ratio and a high equity ratio. Inventory turnover improved gradually, although asset utilization remained slightly below FY23. The most significant concern was the sharp reduction in operating cash flow and cash conversion during FY25, indicating weaker conversion of reported earnings into cash.</t>
  </si>
  <si>
    <t>Section 1 – Executive KPI Cards</t>
  </si>
  <si>
    <t>3-Year Change</t>
  </si>
  <si>
    <t>Revenue (€M)</t>
  </si>
  <si>
    <t>Operating Profit (€M)</t>
  </si>
  <si>
    <t>Net Profit (€M)</t>
  </si>
  <si>
    <t>Operating Cash Flow (€M)</t>
  </si>
  <si>
    <t>Section 2 – Revenue &amp; Profit Trend</t>
  </si>
  <si>
    <t>Revenue</t>
  </si>
  <si>
    <t>Operating Profit</t>
  </si>
  <si>
    <t>Section 3 – Profitability Trend</t>
  </si>
  <si>
    <t>Section 4 – Liquidity</t>
  </si>
  <si>
    <t>Section 5 – Solvency</t>
  </si>
  <si>
    <t>Section 6 – Efficiency</t>
  </si>
  <si>
    <t>Section 7 – Cash Flow</t>
  </si>
  <si>
    <t>Operating CF</t>
  </si>
  <si>
    <t>Investing CF</t>
  </si>
  <si>
    <t>Financing CF</t>
  </si>
  <si>
    <t>Section 8 – Return Ratios</t>
  </si>
  <si>
    <t>INTER IKEA GROUP
FINANCIAL STATEMENT ANALYSIS | FY23–FY25</t>
  </si>
  <si>
    <t>Amounts in € million unless otherwise stated</t>
  </si>
  <si>
    <t>REVENUE</t>
  </si>
  <si>
    <t>OPERATING PROFIT</t>
  </si>
  <si>
    <t>NET PROFIT</t>
  </si>
  <si>
    <t>CURRENT RATIO</t>
  </si>
  <si>
    <t>OPERATING CASH FLOW</t>
  </si>
  <si>
    <t>€26.18B</t>
  </si>
  <si>
    <t>€1.73B</t>
  </si>
  <si>
    <t>€1.50B</t>
  </si>
  <si>
    <t>3.56x</t>
  </si>
  <si>
    <t>€1.25B</t>
  </si>
  <si>
    <t>▼ 10.05% vs FY23</t>
  </si>
  <si>
    <t>▼ 23.20% vs FY23</t>
  </si>
  <si>
    <t>▼ 8.72% vs FY23</t>
  </si>
  <si>
    <t>▲ 51.49% vs FY23</t>
  </si>
  <si>
    <t>▼ 13.85% vs FY23</t>
  </si>
  <si>
    <t>▼ 62.11% vs FY23</t>
  </si>
  <si>
    <t>KEY FINANCIAL INSIGHTS</t>
  </si>
  <si>
    <t>Revenue declined by 10.5% from FY23 to FY25, indicating softer top-line performance.</t>
  </si>
  <si>
    <t>Operating profit declined by 23.2%, while net profit declined by 8.7% over the three-year period.</t>
  </si>
  <si>
    <t>Liquidity remained strong in FY25, with a current ratio of 3.56x and a quick ratio of 1.99x.</t>
  </si>
  <si>
    <t>FY25 operating cash flow fell to €1.25B, down 62.1% versus FY23.</t>
  </si>
  <si>
    <t>Capital structure remained conservative: debt-to-equity was 0.18x and the equity ratio was 85.1% in FY25.</t>
  </si>
  <si>
    <t>Operating efficiency was mixed: inventory turnover improved to 4.77x, while asset turnover was 1.19x.</t>
  </si>
  <si>
    <t> </t>
  </si>
  <si>
    <t>Source: Inter IKEA Group Annual Reports FY23–FY25 | Dashboard linked to 11_Dashboard_Data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</si>
</sst>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b/>
      <sz val="14"/>
      <color theme="1"/>
      <name val="Calibri Light"/>
      <scheme val="major"/>
    </font>
    <font>
      <sz val="11"/>
      <color rgb="FF000000"/>
      <name val="Calibri"/>
    </font>
    <font>
      <b/>
      <sz val="11"/>
      <color rgb="FF000000"/>
      <name val="Calibri"/>
      <family val="2"/>
      <scheme val="minor"/>
    </font>
    <font>
      <sz val="11"/>
      <color rgb="FF000000"/>
      <name val="Calibri"/>
      <family val="2"/>
      <scheme val="minor"/>
    </font>
    <font>
      <i/>
      <sz val="11"/>
      <color theme="1"/>
      <name val="Calibri"/>
      <family val="2"/>
      <scheme val="minor"/>
    </font>
    <font>
      <sz val="11"/>
      <color rgb="FF242424"/>
      <name val="Aptos Narrow"/>
      <charset val="1"/>
    </font>
    <font>
      <b/>
      <sz val="11"/>
      <color rgb="FF000000"/>
      <name val="Calibri"/>
      <scheme val="minor"/>
    </font>
    <font>
      <b/>
      <sz val="12"/>
      <color theme="1"/>
      <name val="Calibri"/>
      <family val="2"/>
      <scheme val="minor"/>
    </font>
    <font>
      <b/>
      <sz val="12"/>
      <color rgb="FF000000"/>
      <name val="Calibri"/>
    </font>
    <font>
      <b/>
      <sz val="12"/>
      <color rgb="FF000000"/>
      <name val="Calibri"/>
      <scheme val="minor"/>
    </font>
    <font>
      <b/>
      <sz val="11"/>
      <color theme="0"/>
      <name val="Calibri"/>
      <family val="2"/>
      <scheme val="minor"/>
    </font>
    <font>
      <sz val="11"/>
      <color theme="0"/>
      <name val="Calibri"/>
      <family val="2"/>
      <scheme val="minor"/>
    </font>
    <font>
      <b/>
      <sz val="11"/>
      <color theme="0"/>
      <name val="Calibri"/>
    </font>
    <font>
      <sz val="24"/>
      <color theme="0"/>
      <name val="Calibri"/>
      <family val="2"/>
      <scheme val="minor"/>
    </font>
    <font>
      <i/>
      <sz val="10"/>
      <color theme="1" tint="0.34998626667073579"/>
      <name val="Calibri"/>
      <scheme val="minor"/>
    </font>
    <font>
      <sz val="10"/>
      <color theme="1" tint="0.34998626667073579"/>
      <name val="Calibri"/>
      <family val="2"/>
      <scheme val="minor"/>
    </font>
    <font>
      <b/>
      <sz val="11"/>
      <color rgb="FF0B2E59"/>
      <name val="Aptos"/>
    </font>
    <font>
      <b/>
      <sz val="11"/>
      <color rgb="FF1F4E78"/>
      <name val="Aptos Display"/>
      <charset val="1"/>
    </font>
    <font>
      <b/>
      <sz val="11"/>
      <color rgb="FFC0392B"/>
      <name val="Aptos"/>
    </font>
    <font>
      <b/>
      <sz val="11"/>
      <color rgb="FF3A8D5D"/>
      <name val="Aptos"/>
    </font>
    <font>
      <b/>
      <sz val="11"/>
      <color rgb="FFFFFFFF"/>
      <name val="Aptos"/>
    </font>
    <font>
      <sz val="11"/>
      <color rgb="FF111827"/>
      <name val="Aptos"/>
    </font>
    <font>
      <i/>
      <sz val="11"/>
      <color rgb="FF6B7280"/>
      <name val="Aptos"/>
    </font>
  </fonts>
  <fills count="13">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002060"/>
        <bgColor indexed="64"/>
      </patternFill>
    </fill>
    <fill>
      <patternFill patternType="solid">
        <fgColor rgb="FFEAF2F8"/>
        <bgColor rgb="FF000000"/>
      </patternFill>
    </fill>
    <fill>
      <patternFill patternType="solid">
        <fgColor rgb="FFFFFFFF"/>
        <bgColor rgb="FF000000"/>
      </patternFill>
    </fill>
    <fill>
      <patternFill patternType="solid">
        <fgColor rgb="FFFCEBE9"/>
        <bgColor rgb="FF000000"/>
      </patternFill>
    </fill>
    <fill>
      <patternFill patternType="solid">
        <fgColor rgb="FFEAF5EE"/>
        <bgColor rgb="FF000000"/>
      </patternFill>
    </fill>
    <fill>
      <patternFill patternType="solid">
        <fgColor theme="4" tint="0.79998168889431442"/>
        <bgColor indexed="64"/>
      </patternFill>
    </fill>
    <fill>
      <patternFill patternType="solid">
        <fgColor rgb="FF0B2E59"/>
        <bgColor rgb="FF000000"/>
      </patternFill>
    </fill>
    <fill>
      <patternFill patternType="solid">
        <fgColor rgb="FFF7F9FC"/>
        <bgColor rgb="FF000000"/>
      </patternFill>
    </fill>
  </fills>
  <borders count="21">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0" tint="-0.14999847407452621"/>
      </left>
      <right/>
      <top style="thin">
        <color theme="0" tint="-0.14999847407452621"/>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diagonal/>
    </border>
    <border>
      <left/>
      <right/>
      <top style="thin">
        <color rgb="FFD9D9D9"/>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bottom style="thin">
        <color rgb="FFD9D9D9"/>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0" fillId="0" borderId="1" xfId="0" applyBorder="1"/>
    <xf numFmtId="0" fontId="0" fillId="0" borderId="2" xfId="0" applyBorder="1"/>
    <xf numFmtId="16"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3" fillId="0" borderId="0" xfId="0" applyFont="1"/>
    <xf numFmtId="0" fontId="5" fillId="3" borderId="0" xfId="0" applyFont="1" applyFill="1"/>
    <xf numFmtId="3" fontId="0" fillId="0" borderId="0" xfId="0" applyNumberFormat="1"/>
    <xf numFmtId="3" fontId="1" fillId="0" borderId="0" xfId="0" applyNumberFormat="1" applyFont="1"/>
    <xf numFmtId="0" fontId="7" fillId="0" borderId="0" xfId="0" applyFont="1"/>
    <xf numFmtId="10" fontId="0" fillId="0" borderId="0" xfId="0" applyNumberFormat="1"/>
    <xf numFmtId="2" fontId="0" fillId="0" borderId="0" xfId="0" applyNumberFormat="1"/>
    <xf numFmtId="0" fontId="4" fillId="3" borderId="0" xfId="0" applyFont="1" applyFill="1"/>
    <xf numFmtId="0" fontId="3" fillId="3" borderId="0" xfId="0" applyFont="1" applyFill="1"/>
    <xf numFmtId="0" fontId="8" fillId="0" borderId="0" xfId="0" applyFont="1"/>
    <xf numFmtId="10" fontId="3" fillId="0" borderId="0" xfId="0" applyNumberFormat="1" applyFont="1"/>
    <xf numFmtId="0" fontId="9" fillId="0" borderId="0" xfId="0" applyFont="1"/>
    <xf numFmtId="0" fontId="10" fillId="0" borderId="0" xfId="0" applyFont="1"/>
    <xf numFmtId="0" fontId="11" fillId="3" borderId="0" xfId="0" applyFont="1" applyFill="1"/>
    <xf numFmtId="3" fontId="3" fillId="0" borderId="0" xfId="0" applyNumberFormat="1" applyFont="1"/>
    <xf numFmtId="0" fontId="12" fillId="4" borderId="0" xfId="0" applyFont="1" applyFill="1"/>
    <xf numFmtId="0" fontId="12" fillId="4" borderId="7" xfId="0" applyFont="1" applyFill="1" applyBorder="1"/>
    <xf numFmtId="0" fontId="12" fillId="4" borderId="8" xfId="0" applyFont="1" applyFill="1" applyBorder="1"/>
    <xf numFmtId="0" fontId="12" fillId="4" borderId="9" xfId="0" applyFont="1" applyFill="1" applyBorder="1"/>
    <xf numFmtId="0" fontId="13" fillId="4" borderId="0" xfId="0" applyFont="1" applyFill="1"/>
    <xf numFmtId="0" fontId="14" fillId="4" borderId="0" xfId="0" applyFont="1" applyFill="1"/>
    <xf numFmtId="0" fontId="0" fillId="0" borderId="10" xfId="0" applyBorder="1"/>
    <xf numFmtId="0" fontId="0" fillId="0" borderId="11" xfId="0" applyBorder="1"/>
    <xf numFmtId="0" fontId="0" fillId="0" borderId="12" xfId="0" applyBorder="1"/>
    <xf numFmtId="0" fontId="18" fillId="6" borderId="16" xfId="0" applyFont="1" applyFill="1" applyBorder="1"/>
    <xf numFmtId="0" fontId="18" fillId="6" borderId="14" xfId="0" applyFont="1" applyFill="1" applyBorder="1"/>
    <xf numFmtId="0" fontId="20" fillId="8" borderId="18" xfId="0" applyFont="1" applyFill="1" applyBorder="1"/>
    <xf numFmtId="0" fontId="20" fillId="8" borderId="19" xfId="0" applyFont="1" applyFill="1" applyBorder="1"/>
    <xf numFmtId="0" fontId="20" fillId="8" borderId="20" xfId="0" applyFont="1" applyFill="1" applyBorder="1"/>
    <xf numFmtId="0" fontId="21" fillId="9" borderId="20" xfId="0" applyFont="1" applyFill="1" applyBorder="1"/>
    <xf numFmtId="0" fontId="21" fillId="9" borderId="19" xfId="0" applyFont="1" applyFill="1" applyBorder="1"/>
    <xf numFmtId="0" fontId="18" fillId="6" borderId="13" xfId="0" applyFont="1" applyFill="1" applyBorder="1"/>
    <xf numFmtId="0" fontId="23" fillId="7" borderId="0" xfId="0" applyFont="1" applyFill="1"/>
    <xf numFmtId="0" fontId="0" fillId="0" borderId="0" xfId="0" applyAlignment="1">
      <alignment horizontal="center"/>
    </xf>
    <xf numFmtId="0" fontId="19" fillId="7" borderId="15" xfId="0" applyFont="1" applyFill="1" applyBorder="1" applyAlignment="1">
      <alignment horizontal="center"/>
    </xf>
    <xf numFmtId="0" fontId="19" fillId="7" borderId="17" xfId="0" applyFont="1" applyFill="1" applyBorder="1" applyAlignment="1">
      <alignment horizontal="center"/>
    </xf>
    <xf numFmtId="10" fontId="19" fillId="7" borderId="15" xfId="0" applyNumberFormat="1" applyFont="1" applyFill="1" applyBorder="1" applyAlignment="1">
      <alignment horizontal="center"/>
    </xf>
    <xf numFmtId="10" fontId="19" fillId="7" borderId="17" xfId="0" applyNumberFormat="1" applyFont="1" applyFill="1" applyBorder="1" applyAlignment="1">
      <alignment horizontal="center"/>
    </xf>
    <xf numFmtId="0" fontId="15" fillId="5" borderId="0" xfId="0" applyFont="1" applyFill="1" applyAlignment="1">
      <alignment horizontal="center" wrapText="1"/>
    </xf>
    <xf numFmtId="0" fontId="15" fillId="5" borderId="0" xfId="0" applyFont="1" applyFill="1" applyAlignment="1">
      <alignment horizontal="center"/>
    </xf>
    <xf numFmtId="0" fontId="16" fillId="10" borderId="0" xfId="0" applyFont="1" applyFill="1" applyAlignment="1">
      <alignment horizontal="right"/>
    </xf>
    <xf numFmtId="0" fontId="17" fillId="10" borderId="0" xfId="0" applyFont="1" applyFill="1" applyAlignment="1">
      <alignment horizontal="right"/>
    </xf>
    <xf numFmtId="0" fontId="23" fillId="7" borderId="0" xfId="0" applyFont="1" applyFill="1" applyAlignment="1">
      <alignment wrapText="1"/>
    </xf>
    <xf numFmtId="0" fontId="23" fillId="12" borderId="0" xfId="0" applyFont="1" applyFill="1" applyAlignment="1">
      <alignment wrapText="1"/>
    </xf>
    <xf numFmtId="0" fontId="22" fillId="11" borderId="0" xfId="0" applyFont="1" applyFill="1" applyAlignment="1"/>
    <xf numFmtId="0" fontId="24" fillId="6" borderId="0" xfId="0" applyFont="1" applyFill="1" applyAlignment="1"/>
  </cellXfs>
  <cellStyles count="1">
    <cellStyle name="Normal" xfId="0" builtinId="0"/>
  </cellStyles>
  <dxfs count="47">
    <dxf>
      <numFmt numFmtId="14" formatCode="0.00%"/>
    </dxf>
    <dxf>
      <numFmt numFmtId="14" formatCode="0.00%"/>
    </dxf>
    <dxf>
      <font>
        <b/>
        <i val="0"/>
        <strike val="0"/>
        <condense val="0"/>
        <extend val="0"/>
        <outline val="0"/>
        <shadow val="0"/>
        <u val="none"/>
        <vertAlign val="baseline"/>
        <sz val="11"/>
        <color theme="1"/>
        <name val="Calibri"/>
        <family val="2"/>
        <scheme val="minor"/>
      </font>
    </dxf>
    <dxf>
      <numFmt numFmtId="3"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4" formatCode="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indexed="64"/>
          <bgColor theme="1"/>
        </patternFill>
      </fill>
      <alignment horizontal="general" vertical="bottom" textRotation="0" wrapText="0" indent="0" justifyLastLine="0" shrinkToFit="0" readingOrder="0"/>
    </dxf>
    <dxf>
      <numFmt numFmtId="0" formatCode="General"/>
    </dxf>
    <dxf>
      <font>
        <b/>
        <i val="0"/>
        <strike val="0"/>
        <condense val="0"/>
        <extend val="0"/>
        <outline val="0"/>
        <shadow val="0"/>
        <u val="none"/>
        <vertAlign val="baseline"/>
        <sz val="11"/>
        <color theme="0"/>
        <name val="Calibri"/>
        <scheme val="none"/>
      </font>
      <fill>
        <patternFill patternType="solid">
          <fgColor indexed="64"/>
          <bgColor theme="1"/>
        </patternFill>
      </fill>
      <alignment horizontal="general" vertical="bottom" textRotation="0" wrapText="0" indent="0" justifyLastLine="0" shrinkToFit="0" readingOrder="0"/>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rgb="FF000000"/>
        <name val="Calibri"/>
        <family val="2"/>
        <scheme val="minor"/>
      </font>
      <fill>
        <patternFill patternType="solid">
          <fgColor indexed="64"/>
          <bgColor theme="0"/>
        </patternFill>
      </fill>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3" formatCode="#,##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t>Revenue &amp; Profit Trend</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'11_Dashboard_Data'!$A$15:$A$17</c:f>
              <c:strCache>
                <c:ptCount val="3"/>
                <c:pt idx="0">
                  <c:v>FY23</c:v>
                </c:pt>
                <c:pt idx="1">
                  <c:v>FY24</c:v>
                </c:pt>
                <c:pt idx="2">
                  <c:v>FY25</c:v>
                </c:pt>
              </c:strCache>
            </c:strRef>
          </c:cat>
          <c:val>
            <c:numRef>
              <c:f>'11_Dashboard_Data'!$B$15:$B$17</c:f>
              <c:numCache>
                <c:formatCode>#,##0</c:formatCode>
                <c:ptCount val="3"/>
                <c:pt idx="0">
                  <c:v>29109</c:v>
                </c:pt>
                <c:pt idx="1">
                  <c:v>26596</c:v>
                </c:pt>
                <c:pt idx="2">
                  <c:v>26183</c:v>
                </c:pt>
              </c:numCache>
            </c:numRef>
          </c:val>
          <c:extLst>
            <c:ext xmlns:c16="http://schemas.microsoft.com/office/drawing/2014/chart" uri="{C3380CC4-5D6E-409C-BE32-E72D297353CC}">
              <c16:uniqueId val="{00000000-FBED-434A-B024-3C1FCE8CEC6F}"/>
            </c:ext>
          </c:extLst>
        </c:ser>
        <c:ser>
          <c:idx val="1"/>
          <c:order val="1"/>
          <c:tx>
            <c:v>Operating profit </c:v>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'11_Dashboard_Data'!$A$15:$A$17</c:f>
              <c:strCache>
                <c:ptCount val="3"/>
                <c:pt idx="0">
                  <c:v>FY23</c:v>
                </c:pt>
                <c:pt idx="1">
                  <c:v>FY24</c:v>
                </c:pt>
                <c:pt idx="2">
                  <c:v>FY25</c:v>
                </c:pt>
              </c:strCache>
            </c:strRef>
          </c:cat>
          <c:val>
            <c:numRef>
              <c:f>'11_Dashboard_Data'!$C$15:$C$17</c:f>
              <c:numCache>
                <c:formatCode>#,##0</c:formatCode>
                <c:ptCount val="3"/>
                <c:pt idx="0">
                  <c:v>2246</c:v>
                </c:pt>
                <c:pt idx="1">
                  <c:v>2339</c:v>
                </c:pt>
                <c:pt idx="2">
                  <c:v>1725</c:v>
                </c:pt>
              </c:numCache>
            </c:numRef>
          </c:val>
          <c:extLst>
            <c:ext xmlns:c16="http://schemas.microsoft.com/office/drawing/2014/chart" uri="{C3380CC4-5D6E-409C-BE32-E72D297353CC}">
              <c16:uniqueId val="{00000001-FBED-434A-B024-3C1FCE8CEC6F}"/>
            </c:ext>
          </c:extLst>
        </c:ser>
        <c:ser>
          <c:idx val="2"/>
          <c:order val="2"/>
          <c:tx>
            <c:v>Net profit</c:v>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'11_Dashboard_Data'!$A$15:$A$17</c:f>
              <c:strCache>
                <c:ptCount val="3"/>
                <c:pt idx="0">
                  <c:v>FY23</c:v>
                </c:pt>
                <c:pt idx="1">
                  <c:v>FY24</c:v>
                </c:pt>
                <c:pt idx="2">
                  <c:v>FY25</c:v>
                </c:pt>
              </c:strCache>
            </c:strRef>
          </c:cat>
          <c:val>
            <c:numRef>
              <c:f>'11_Dashboard_Data'!$D$15:$D$17</c:f>
              <c:numCache>
                <c:formatCode>#,##0</c:formatCode>
                <c:ptCount val="3"/>
                <c:pt idx="0">
                  <c:v>1639</c:v>
                </c:pt>
                <c:pt idx="1">
                  <c:v>2199</c:v>
                </c:pt>
                <c:pt idx="2">
                  <c:v>1496</c:v>
                </c:pt>
              </c:numCache>
            </c:numRef>
          </c:val>
          <c:extLst>
            <c:ext xmlns:c16="http://schemas.microsoft.com/office/drawing/2014/chart" uri="{C3380CC4-5D6E-409C-BE32-E72D297353CC}">
              <c16:uniqueId val="{00000002-FBED-434A-B024-3C1FCE8CEC6F}"/>
            </c:ext>
          </c:extLst>
        </c:ser>
        <c:dLbls>
          <c:showLegendKey val="0"/>
          <c:showVal val="0"/>
          <c:showCatName val="0"/>
          <c:showSerName val="0"/>
          <c:showPercent val="0"/>
          <c:showBubbleSize val="0"/>
        </c:dLbls>
        <c:gapWidth val="89"/>
        <c:overlap val="-27"/>
        <c:axId val="1646899720"/>
        <c:axId val="1656365064"/>
      </c:barChart>
      <c:catAx>
        <c:axId val="1646899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65064"/>
        <c:crosses val="autoZero"/>
        <c:auto val="1"/>
        <c:lblAlgn val="ctr"/>
        <c:lblOffset val="100"/>
        <c:noMultiLvlLbl val="0"/>
      </c:catAx>
      <c:valAx>
        <c:axId val="1656365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99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Profit Trend</a:t>
            </a:r>
          </a:p>
        </c:rich>
      </c:tx>
      <c:overlay val="0"/>
      <c:spPr>
        <a:solidFill>
          <a:srgbClr val="FFFFFF"/>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Operating Profit </c:v>
          </c:tx>
          <c:spPr>
            <a:ln w="28575" cap="rnd">
              <a:solidFill>
                <a:schemeClr val="accent1"/>
              </a:solidFill>
              <a:round/>
            </a:ln>
            <a:effectLst/>
          </c:spPr>
          <c:marker>
            <c:symbol val="none"/>
          </c:marker>
          <c:val>
            <c:numRef>
              <c:f>'11_Dashboard_Data'!$C$15:$C$17</c:f>
              <c:numCache>
                <c:formatCode>#,##0</c:formatCode>
                <c:ptCount val="3"/>
                <c:pt idx="0">
                  <c:v>2246</c:v>
                </c:pt>
                <c:pt idx="1">
                  <c:v>2339</c:v>
                </c:pt>
                <c:pt idx="2">
                  <c:v>1725</c:v>
                </c:pt>
              </c:numCache>
            </c:numRef>
          </c:val>
          <c:smooth val="0"/>
          <c:extLst>
            <c:ext xmlns:c16="http://schemas.microsoft.com/office/drawing/2014/chart" uri="{C3380CC4-5D6E-409C-BE32-E72D297353CC}">
              <c16:uniqueId val="{00000000-3BED-413A-A325-170FA7545977}"/>
            </c:ext>
          </c:extLst>
        </c:ser>
        <c:ser>
          <c:idx val="1"/>
          <c:order val="1"/>
          <c:tx>
            <c:v>Net Profit</c:v>
          </c:tx>
          <c:spPr>
            <a:ln w="28575" cap="rnd">
              <a:solidFill>
                <a:schemeClr val="accent2"/>
              </a:solidFill>
              <a:round/>
            </a:ln>
            <a:effectLst/>
          </c:spPr>
          <c:marker>
            <c:symbol val="none"/>
          </c:marker>
          <c:val>
            <c:numRef>
              <c:f>'11_Dashboard_Data'!$D$15:$D$17</c:f>
              <c:numCache>
                <c:formatCode>#,##0</c:formatCode>
                <c:ptCount val="3"/>
                <c:pt idx="0">
                  <c:v>1639</c:v>
                </c:pt>
                <c:pt idx="1">
                  <c:v>2199</c:v>
                </c:pt>
                <c:pt idx="2">
                  <c:v>1496</c:v>
                </c:pt>
              </c:numCache>
            </c:numRef>
          </c:val>
          <c:smooth val="0"/>
          <c:extLst>
            <c:ext xmlns:c16="http://schemas.microsoft.com/office/drawing/2014/chart" uri="{C3380CC4-5D6E-409C-BE32-E72D297353CC}">
              <c16:uniqueId val="{00000001-3BED-413A-A325-170FA7545977}"/>
            </c:ext>
          </c:extLst>
        </c:ser>
        <c:dLbls>
          <c:showLegendKey val="0"/>
          <c:showVal val="0"/>
          <c:showCatName val="0"/>
          <c:showSerName val="0"/>
          <c:showPercent val="0"/>
          <c:showBubbleSize val="0"/>
        </c:dLbls>
        <c:smooth val="0"/>
        <c:axId val="1660297224"/>
        <c:axId val="1660299272"/>
      </c:lineChart>
      <c:catAx>
        <c:axId val="1660297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99272"/>
        <c:crosses val="autoZero"/>
        <c:auto val="1"/>
        <c:lblAlgn val="ctr"/>
        <c:lblOffset val="100"/>
        <c:noMultiLvlLbl val="0"/>
      </c:catAx>
      <c:valAx>
        <c:axId val="1660299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97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Profitability Margin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Gross Margin</c:v>
          </c:tx>
          <c:spPr>
            <a:ln w="28575" cap="rnd">
              <a:solidFill>
                <a:schemeClr val="accent1"/>
              </a:solidFill>
              <a:round/>
            </a:ln>
            <a:effectLst/>
          </c:spPr>
          <c:marker>
            <c:symbol val="none"/>
          </c:marker>
          <c:cat>
            <c:strRef>
              <c:f>'11_Dashboard_Data'!$A$22:$A$24</c:f>
              <c:strCache>
                <c:ptCount val="3"/>
                <c:pt idx="0">
                  <c:v>FY23</c:v>
                </c:pt>
                <c:pt idx="1">
                  <c:v>FY24</c:v>
                </c:pt>
                <c:pt idx="2">
                  <c:v>FY25</c:v>
                </c:pt>
              </c:strCache>
            </c:strRef>
          </c:cat>
          <c:val>
            <c:numRef>
              <c:f>'11_Dashboard_Data'!$B$22:$B$24</c:f>
              <c:numCache>
                <c:formatCode>0.00%</c:formatCode>
                <c:ptCount val="3"/>
                <c:pt idx="0">
                  <c:v>0.18160000000000001</c:v>
                </c:pt>
                <c:pt idx="1">
                  <c:v>0.20860000000000001</c:v>
                </c:pt>
                <c:pt idx="2">
                  <c:v>0.18540000000000001</c:v>
                </c:pt>
              </c:numCache>
            </c:numRef>
          </c:val>
          <c:smooth val="0"/>
          <c:extLst>
            <c:ext xmlns:c16="http://schemas.microsoft.com/office/drawing/2014/chart" uri="{C3380CC4-5D6E-409C-BE32-E72D297353CC}">
              <c16:uniqueId val="{00000000-E73A-43C9-880E-3E4E65CFB457}"/>
            </c:ext>
          </c:extLst>
        </c:ser>
        <c:ser>
          <c:idx val="1"/>
          <c:order val="1"/>
          <c:tx>
            <c:v>Operating Margin</c:v>
          </c:tx>
          <c:spPr>
            <a:ln w="28575" cap="rnd">
              <a:solidFill>
                <a:schemeClr val="accent2"/>
              </a:solidFill>
              <a:round/>
            </a:ln>
            <a:effectLst/>
          </c:spPr>
          <c:marker>
            <c:symbol val="none"/>
          </c:marker>
          <c:cat>
            <c:strRef>
              <c:f>'11_Dashboard_Data'!$A$22:$A$24</c:f>
              <c:strCache>
                <c:ptCount val="3"/>
                <c:pt idx="0">
                  <c:v>FY23</c:v>
                </c:pt>
                <c:pt idx="1">
                  <c:v>FY24</c:v>
                </c:pt>
                <c:pt idx="2">
                  <c:v>FY25</c:v>
                </c:pt>
              </c:strCache>
            </c:strRef>
          </c:cat>
          <c:val>
            <c:numRef>
              <c:f>'11_Dashboard_Data'!$C$22:$C$24</c:f>
              <c:numCache>
                <c:formatCode>0.00%</c:formatCode>
                <c:ptCount val="3"/>
                <c:pt idx="0">
                  <c:v>7.7299999999999994E-2</c:v>
                </c:pt>
                <c:pt idx="1">
                  <c:v>8.8099999999999998E-2</c:v>
                </c:pt>
                <c:pt idx="2">
                  <c:v>6.5600000000000006E-2</c:v>
                </c:pt>
              </c:numCache>
            </c:numRef>
          </c:val>
          <c:smooth val="0"/>
          <c:extLst>
            <c:ext xmlns:c16="http://schemas.microsoft.com/office/drawing/2014/chart" uri="{C3380CC4-5D6E-409C-BE32-E72D297353CC}">
              <c16:uniqueId val="{00000001-E73A-43C9-880E-3E4E65CFB457}"/>
            </c:ext>
          </c:extLst>
        </c:ser>
        <c:ser>
          <c:idx val="2"/>
          <c:order val="2"/>
          <c:tx>
            <c:v>Net Profit Margin</c:v>
          </c:tx>
          <c:spPr>
            <a:ln w="28575" cap="rnd">
              <a:solidFill>
                <a:srgbClr val="333F4F"/>
              </a:solidFill>
              <a:prstDash val="solid"/>
              <a:round/>
            </a:ln>
            <a:effectLst/>
          </c:spPr>
          <c:marker>
            <c:symbol val="none"/>
          </c:marker>
          <c:cat>
            <c:strRef>
              <c:f>'11_Dashboard_Data'!$A$22:$A$24</c:f>
              <c:strCache>
                <c:ptCount val="3"/>
                <c:pt idx="0">
                  <c:v>FY23</c:v>
                </c:pt>
                <c:pt idx="1">
                  <c:v>FY24</c:v>
                </c:pt>
                <c:pt idx="2">
                  <c:v>FY25</c:v>
                </c:pt>
              </c:strCache>
            </c:strRef>
          </c:cat>
          <c:val>
            <c:numRef>
              <c:f>'11_Dashboard_Data'!$D$22:$D$24</c:f>
              <c:numCache>
                <c:formatCode>0.00%</c:formatCode>
                <c:ptCount val="3"/>
                <c:pt idx="0">
                  <c:v>5.6399999999999999E-2</c:v>
                </c:pt>
                <c:pt idx="1">
                  <c:v>8.2900000000000001E-2</c:v>
                </c:pt>
                <c:pt idx="2">
                  <c:v>5.6899999999999999E-2</c:v>
                </c:pt>
              </c:numCache>
            </c:numRef>
          </c:val>
          <c:smooth val="0"/>
          <c:extLst>
            <c:ext xmlns:c16="http://schemas.microsoft.com/office/drawing/2014/chart" uri="{C3380CC4-5D6E-409C-BE32-E72D297353CC}">
              <c16:uniqueId val="{00000002-E73A-43C9-880E-3E4E65CFB457}"/>
            </c:ext>
          </c:extLst>
        </c:ser>
        <c:dLbls>
          <c:showLegendKey val="0"/>
          <c:showVal val="0"/>
          <c:showCatName val="0"/>
          <c:showSerName val="0"/>
          <c:showPercent val="0"/>
          <c:showBubbleSize val="0"/>
        </c:dLbls>
        <c:smooth val="0"/>
        <c:axId val="757668872"/>
        <c:axId val="757670920"/>
      </c:lineChart>
      <c:catAx>
        <c:axId val="757668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70920"/>
        <c:crosses val="autoZero"/>
        <c:auto val="1"/>
        <c:lblAlgn val="ctr"/>
        <c:lblOffset val="100"/>
        <c:noMultiLvlLbl val="0"/>
      </c:catAx>
      <c:valAx>
        <c:axId val="757670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68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Liquidity Position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'11_Dashboard_Data'!$B$28</c:f>
              <c:strCache>
                <c:ptCount val="1"/>
                <c:pt idx="0">
                  <c:v>Current Ratio</c:v>
                </c:pt>
              </c:strCache>
            </c:strRef>
          </c:tx>
          <c:spPr>
            <a:solidFill>
              <a:srgbClr val="FFC000"/>
            </a:solidFill>
            <a:ln>
              <a:noFill/>
            </a:ln>
            <a:effectLst/>
          </c:spPr>
          <c:invertIfNegative val="0"/>
          <c:cat>
            <c:strRef>
              <c:f>'11_Dashboard_Data'!$A$29:$A$31</c:f>
              <c:strCache>
                <c:ptCount val="3"/>
                <c:pt idx="0">
                  <c:v>FY23</c:v>
                </c:pt>
                <c:pt idx="1">
                  <c:v>FY24</c:v>
                </c:pt>
                <c:pt idx="2">
                  <c:v>FY25</c:v>
                </c:pt>
              </c:strCache>
            </c:strRef>
          </c:cat>
          <c:val>
            <c:numRef>
              <c:f>'11_Dashboard_Data'!$B$29:$B$31</c:f>
              <c:numCache>
                <c:formatCode>General</c:formatCode>
                <c:ptCount val="3"/>
                <c:pt idx="0">
                  <c:v>2.35</c:v>
                </c:pt>
                <c:pt idx="1">
                  <c:v>3.75</c:v>
                </c:pt>
                <c:pt idx="2">
                  <c:v>3.56</c:v>
                </c:pt>
              </c:numCache>
            </c:numRef>
          </c:val>
          <c:extLst>
            <c:ext xmlns:c16="http://schemas.microsoft.com/office/drawing/2014/chart" uri="{C3380CC4-5D6E-409C-BE32-E72D297353CC}">
              <c16:uniqueId val="{00000000-1880-44D2-9781-D42C9EF37658}"/>
            </c:ext>
          </c:extLst>
        </c:ser>
        <c:dLbls>
          <c:showLegendKey val="0"/>
          <c:showVal val="0"/>
          <c:showCatName val="0"/>
          <c:showSerName val="0"/>
          <c:showPercent val="0"/>
          <c:showBubbleSize val="0"/>
        </c:dLbls>
        <c:gapWidth val="126"/>
        <c:axId val="1747692039"/>
        <c:axId val="1747706375"/>
      </c:barChart>
      <c:lineChart>
        <c:grouping val="standard"/>
        <c:varyColors val="0"/>
        <c:ser>
          <c:idx val="1"/>
          <c:order val="1"/>
          <c:tx>
            <c:strRef>
              <c:f>'11_Dashboard_Data'!$C$28</c:f>
              <c:strCache>
                <c:ptCount val="1"/>
                <c:pt idx="0">
                  <c:v>Quick Ratio</c:v>
                </c:pt>
              </c:strCache>
            </c:strRef>
          </c:tx>
          <c:spPr>
            <a:ln w="28575" cap="rnd">
              <a:solidFill>
                <a:schemeClr val="accent2"/>
              </a:solidFill>
              <a:round/>
            </a:ln>
            <a:effectLst/>
          </c:spPr>
          <c:marker>
            <c:symbol val="none"/>
          </c:marker>
          <c:cat>
            <c:strRef>
              <c:f>'11_Dashboard_Data'!$A$29:$A$31</c:f>
              <c:strCache>
                <c:ptCount val="3"/>
                <c:pt idx="0">
                  <c:v>FY23</c:v>
                </c:pt>
                <c:pt idx="1">
                  <c:v>FY24</c:v>
                </c:pt>
                <c:pt idx="2">
                  <c:v>FY25</c:v>
                </c:pt>
              </c:strCache>
            </c:strRef>
          </c:cat>
          <c:val>
            <c:numRef>
              <c:f>'11_Dashboard_Data'!$C$29:$C$31</c:f>
              <c:numCache>
                <c:formatCode>General</c:formatCode>
                <c:ptCount val="3"/>
                <c:pt idx="0">
                  <c:v>1.4</c:v>
                </c:pt>
                <c:pt idx="1">
                  <c:v>2.42</c:v>
                </c:pt>
                <c:pt idx="2">
                  <c:v>1.99</c:v>
                </c:pt>
              </c:numCache>
            </c:numRef>
          </c:val>
          <c:smooth val="0"/>
          <c:extLst>
            <c:ext xmlns:c16="http://schemas.microsoft.com/office/drawing/2014/chart" uri="{C3380CC4-5D6E-409C-BE32-E72D297353CC}">
              <c16:uniqueId val="{00000001-1880-44D2-9781-D42C9EF37658}"/>
            </c:ext>
          </c:extLst>
        </c:ser>
        <c:dLbls>
          <c:showLegendKey val="0"/>
          <c:showVal val="0"/>
          <c:showCatName val="0"/>
          <c:showSerName val="0"/>
          <c:showPercent val="0"/>
          <c:showBubbleSize val="0"/>
        </c:dLbls>
        <c:marker val="1"/>
        <c:smooth val="0"/>
        <c:axId val="1747692039"/>
        <c:axId val="1747706375"/>
      </c:lineChart>
      <c:catAx>
        <c:axId val="1747692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06375"/>
        <c:crosses val="autoZero"/>
        <c:auto val="1"/>
        <c:lblAlgn val="ctr"/>
        <c:lblOffset val="100"/>
        <c:noMultiLvlLbl val="0"/>
      </c:catAx>
      <c:valAx>
        <c:axId val="1747706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92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baseline="0">
                <a:solidFill>
                  <a:schemeClr val="tx1">
                    <a:lumMod val="65000"/>
                    <a:lumOff val="35000"/>
                  </a:schemeClr>
                </a:solidFill>
                <a:latin typeface="+mn-lt"/>
                <a:ea typeface="+mn-ea"/>
                <a:cs typeface="+mn-cs"/>
              </a:defRPr>
            </a:pPr>
            <a:r>
              <a:rPr lang="en-US"/>
              <a:t>Cash Flow by Activity</a:t>
            </a:r>
          </a:p>
        </c:rich>
      </c:tx>
      <c:overlay val="0"/>
      <c:spPr>
        <a:noFill/>
        <a:ln>
          <a:noFill/>
        </a:ln>
        <a:effectLst/>
      </c:spPr>
      <c:txPr>
        <a:bodyPr rot="0" spcFirstLastPara="1" vertOverflow="ellipsis" vert="horz" wrap="square" anchor="ctr" anchorCtr="1"/>
        <a:lstStyle/>
        <a:p>
          <a:pPr>
            <a:defRPr sz="1400" b="1"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Operating CF</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'11_Dashboard_Data'!$A$50:$A$52</c:f>
              <c:strCache>
                <c:ptCount val="3"/>
                <c:pt idx="0">
                  <c:v>FY23</c:v>
                </c:pt>
                <c:pt idx="1">
                  <c:v>FY24</c:v>
                </c:pt>
                <c:pt idx="2">
                  <c:v>FY25</c:v>
                </c:pt>
              </c:strCache>
            </c:strRef>
          </c:cat>
          <c:val>
            <c:numRef>
              <c:f>'11_Dashboard_Data'!$B$50:$B$52</c:f>
              <c:numCache>
                <c:formatCode>#,##0</c:formatCode>
                <c:ptCount val="3"/>
                <c:pt idx="0">
                  <c:v>3291</c:v>
                </c:pt>
                <c:pt idx="1">
                  <c:v>4301</c:v>
                </c:pt>
                <c:pt idx="2">
                  <c:v>1247</c:v>
                </c:pt>
              </c:numCache>
            </c:numRef>
          </c:val>
          <c:extLst>
            <c:ext xmlns:c16="http://schemas.microsoft.com/office/drawing/2014/chart" uri="{C3380CC4-5D6E-409C-BE32-E72D297353CC}">
              <c16:uniqueId val="{00000000-E65E-4145-A69D-1FBDEA4B8147}"/>
            </c:ext>
          </c:extLst>
        </c:ser>
        <c:ser>
          <c:idx val="1"/>
          <c:order val="1"/>
          <c:tx>
            <c:v>Investing CF</c:v>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'11_Dashboard_Data'!$A$50:$A$52</c:f>
              <c:strCache>
                <c:ptCount val="3"/>
                <c:pt idx="0">
                  <c:v>FY23</c:v>
                </c:pt>
                <c:pt idx="1">
                  <c:v>FY24</c:v>
                </c:pt>
                <c:pt idx="2">
                  <c:v>FY25</c:v>
                </c:pt>
              </c:strCache>
            </c:strRef>
          </c:cat>
          <c:val>
            <c:numRef>
              <c:f>'11_Dashboard_Data'!$C$50:$C$52</c:f>
              <c:numCache>
                <c:formatCode>General</c:formatCode>
                <c:ptCount val="3"/>
                <c:pt idx="0">
                  <c:v>-392</c:v>
                </c:pt>
                <c:pt idx="1">
                  <c:v>-256</c:v>
                </c:pt>
                <c:pt idx="2">
                  <c:v>-657</c:v>
                </c:pt>
              </c:numCache>
            </c:numRef>
          </c:val>
          <c:extLst>
            <c:ext xmlns:c16="http://schemas.microsoft.com/office/drawing/2014/chart" uri="{C3380CC4-5D6E-409C-BE32-E72D297353CC}">
              <c16:uniqueId val="{00000001-E65E-4145-A69D-1FBDEA4B8147}"/>
            </c:ext>
          </c:extLst>
        </c:ser>
        <c:ser>
          <c:idx val="2"/>
          <c:order val="2"/>
          <c:tx>
            <c:v>Financing CF</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'11_Dashboard_Data'!$A$50:$A$52</c:f>
              <c:strCache>
                <c:ptCount val="3"/>
                <c:pt idx="0">
                  <c:v>FY23</c:v>
                </c:pt>
                <c:pt idx="1">
                  <c:v>FY24</c:v>
                </c:pt>
                <c:pt idx="2">
                  <c:v>FY25</c:v>
                </c:pt>
              </c:strCache>
            </c:strRef>
          </c:cat>
          <c:val>
            <c:numRef>
              <c:f>'11_Dashboard_Data'!$D$50:$D$52</c:f>
              <c:numCache>
                <c:formatCode>General</c:formatCode>
                <c:ptCount val="3"/>
                <c:pt idx="0" formatCode="#,##0">
                  <c:v>-2898</c:v>
                </c:pt>
                <c:pt idx="1">
                  <c:v>-50</c:v>
                </c:pt>
                <c:pt idx="2" formatCode="#,##0">
                  <c:v>-1810</c:v>
                </c:pt>
              </c:numCache>
            </c:numRef>
          </c:val>
          <c:extLst>
            <c:ext xmlns:c16="http://schemas.microsoft.com/office/drawing/2014/chart" uri="{C3380CC4-5D6E-409C-BE32-E72D297353CC}">
              <c16:uniqueId val="{00000002-E65E-4145-A69D-1FBDEA4B8147}"/>
            </c:ext>
          </c:extLst>
        </c:ser>
        <c:dLbls>
          <c:showLegendKey val="0"/>
          <c:showVal val="1"/>
          <c:showCatName val="0"/>
          <c:showSerName val="0"/>
          <c:showPercent val="0"/>
          <c:showBubbleSize val="0"/>
        </c:dLbls>
        <c:gapWidth val="63"/>
        <c:axId val="1747692039"/>
        <c:axId val="1747706375"/>
      </c:barChart>
      <c:catAx>
        <c:axId val="1747692039"/>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47706375"/>
        <c:crosses val="autoZero"/>
        <c:auto val="1"/>
        <c:lblAlgn val="ctr"/>
        <c:lblOffset val="100"/>
        <c:noMultiLvlLbl val="0"/>
      </c:catAx>
      <c:valAx>
        <c:axId val="1747706375"/>
        <c:scaling>
          <c:orientation val="minMax"/>
          <c:min val="-4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476920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baseline="0">
                <a:solidFill>
                  <a:schemeClr val="tx1">
                    <a:lumMod val="65000"/>
                    <a:lumOff val="35000"/>
                  </a:schemeClr>
                </a:solidFill>
                <a:latin typeface="+mn-lt"/>
                <a:ea typeface="+mn-ea"/>
                <a:cs typeface="+mn-cs"/>
              </a:defRPr>
            </a:pPr>
            <a:r>
              <a:rPr lang="en-US"/>
              <a:t>Return</a:t>
            </a:r>
          </a:p>
        </c:rich>
      </c:tx>
      <c:overlay val="0"/>
      <c:spPr>
        <a:noFill/>
        <a:ln>
          <a:noFill/>
        </a:ln>
        <a:effectLst/>
      </c:spPr>
      <c:txPr>
        <a:bodyPr rot="0" spcFirstLastPara="1" vertOverflow="ellipsis" vert="horz" wrap="square" anchor="ctr" anchorCtr="1"/>
        <a:lstStyle/>
        <a:p>
          <a:pPr>
            <a:defRPr sz="1400" b="1" i="0" u="none" strike="noStrike"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'11_Dashboard_Data'!$B$56</c:f>
              <c:strCache>
                <c:ptCount val="1"/>
                <c:pt idx="0">
                  <c:v>ROA</c:v>
                </c:pt>
              </c:strCache>
            </c:strRef>
          </c:tx>
          <c:spPr>
            <a:ln w="28575" cap="rnd">
              <a:solidFill>
                <a:srgbClr val="FF0000"/>
              </a:solidFill>
              <a:prstDash val="solid"/>
              <a:round/>
            </a:ln>
            <a:effectLst/>
          </c:spPr>
          <c:marker>
            <c:symbol val="circle"/>
            <c:size val="5"/>
            <c:spPr>
              <a:solidFill>
                <a:schemeClr val="accent1"/>
              </a:solidFill>
              <a:ln w="9525">
                <a:solidFill>
                  <a:schemeClr val="l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'11_Dashboard_Data'!$B$57:$B$59</c:f>
              <c:numCache>
                <c:formatCode>0.00%</c:formatCode>
                <c:ptCount val="3"/>
                <c:pt idx="0">
                  <c:v>7.1300000000000002E-2</c:v>
                </c:pt>
                <c:pt idx="1">
                  <c:v>9.7900000000000001E-2</c:v>
                </c:pt>
                <c:pt idx="2">
                  <c:v>6.7599999999999993E-2</c:v>
                </c:pt>
              </c:numCache>
            </c:numRef>
          </c:val>
          <c:smooth val="1"/>
          <c:extLst>
            <c:ext xmlns:c15="http://schemas.microsoft.com/office/drawing/2012/chart" uri="{02D57815-91ED-43cb-92C2-25804820EDAC}">
              <c15:filteredCategoryTitle>
                <c15:cat>
                  <c:strRef>
                    <c:extLst>
                      <c:ext uri="{02D57815-91ED-43cb-92C2-25804820EDAC}">
                        <c15:formulaRef>
                          <c15:sqref>'11_Dashboard_Data'!$A$57:$A$59</c15:sqref>
                        </c15:formulaRef>
                      </c:ext>
                    </c:extLst>
                    <c:strCache>
                      <c:ptCount val="3"/>
                      <c:pt idx="0">
                        <c:v>FY23</c:v>
                      </c:pt>
                      <c:pt idx="1">
                        <c:v>FY24</c:v>
                      </c:pt>
                      <c:pt idx="2">
                        <c:v>FY25</c:v>
                      </c:pt>
                    </c:strCache>
                  </c:strRef>
                </c15:cat>
              </c15:filteredCategoryTitle>
            </c:ext>
            <c:ext xmlns:c16="http://schemas.microsoft.com/office/drawing/2014/chart" uri="{C3380CC4-5D6E-409C-BE32-E72D297353CC}">
              <c16:uniqueId val="{00000000-EF86-4F91-9F40-99E18B0D6E1D}"/>
            </c:ext>
          </c:extLst>
        </c:ser>
        <c:ser>
          <c:idx val="1"/>
          <c:order val="1"/>
          <c:tx>
            <c:strRef>
              <c:f>'11_Dashboard_Data'!$C$56</c:f>
              <c:strCache>
                <c:ptCount val="1"/>
                <c:pt idx="0">
                  <c:v>ROE</c:v>
                </c:pt>
              </c:strCache>
            </c:strRef>
          </c:tx>
          <c:spPr>
            <a:ln w="28575" cap="rnd">
              <a:solidFill>
                <a:srgbClr val="4472C4"/>
              </a:solidFill>
              <a:prstDash val="solid"/>
              <a:round/>
            </a:ln>
            <a:effectLst/>
          </c:spPr>
          <c:marker>
            <c:symbol val="circle"/>
            <c:size val="4"/>
            <c:spPr>
              <a:solidFill>
                <a:srgbClr val="FFFF00"/>
              </a:solidFill>
              <a:ln w="9525">
                <a:solidFill>
                  <a:schemeClr val="l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'11_Dashboard_Data'!$C$57:$C$59</c:f>
              <c:numCache>
                <c:formatCode>0.00%</c:formatCode>
                <c:ptCount val="3"/>
                <c:pt idx="0">
                  <c:v>9.2299999999999993E-2</c:v>
                </c:pt>
                <c:pt idx="1">
                  <c:v>0.1145</c:v>
                </c:pt>
                <c:pt idx="2">
                  <c:v>7.9500000000000001E-2</c:v>
                </c:pt>
              </c:numCache>
            </c:numRef>
          </c:val>
          <c:smooth val="1"/>
          <c:extLst>
            <c:ext xmlns:c15="http://schemas.microsoft.com/office/drawing/2012/chart" uri="{02D57815-91ED-43cb-92C2-25804820EDAC}">
              <c15:filteredCategoryTitle>
                <c15:cat>
                  <c:strRef>
                    <c:extLst>
                      <c:ext uri="{02D57815-91ED-43cb-92C2-25804820EDAC}">
                        <c15:formulaRef>
                          <c15:sqref>'11_Dashboard_Data'!$A$57:$A$59</c15:sqref>
                        </c15:formulaRef>
                      </c:ext>
                    </c:extLst>
                    <c:strCache>
                      <c:ptCount val="3"/>
                      <c:pt idx="0">
                        <c:v>FY23</c:v>
                      </c:pt>
                      <c:pt idx="1">
                        <c:v>FY24</c:v>
                      </c:pt>
                      <c:pt idx="2">
                        <c:v>FY25</c:v>
                      </c:pt>
                    </c:strCache>
                  </c:strRef>
                </c15:cat>
              </c15:filteredCategoryTitle>
            </c:ext>
            <c:ext xmlns:c16="http://schemas.microsoft.com/office/drawing/2014/chart" uri="{C3380CC4-5D6E-409C-BE32-E72D297353CC}">
              <c16:uniqueId val="{00000001-EF86-4F91-9F40-99E18B0D6E1D}"/>
            </c:ext>
          </c:extLst>
        </c:ser>
        <c:dLbls>
          <c:showLegendKey val="0"/>
          <c:showVal val="1"/>
          <c:showCatName val="0"/>
          <c:showSerName val="0"/>
          <c:showPercent val="0"/>
          <c:showBubbleSize val="0"/>
        </c:dLbls>
        <c:marker val="1"/>
        <c:smooth val="0"/>
        <c:axId val="1704638983"/>
        <c:axId val="1766720519"/>
      </c:lineChart>
      <c:catAx>
        <c:axId val="1704638983"/>
        <c:scaling>
          <c:orientation val="minMax"/>
        </c:scaling>
        <c:delete val="1"/>
        <c:axPos val="b"/>
        <c:numFmt formatCode="General" sourceLinked="1"/>
        <c:majorTickMark val="out"/>
        <c:minorTickMark val="none"/>
        <c:tickLblPos val="high"/>
        <c:crossAx val="1766720519"/>
        <c:crosses val="autoZero"/>
        <c:auto val="1"/>
        <c:lblAlgn val="ctr"/>
        <c:lblOffset val="100"/>
        <c:noMultiLvlLbl val="0"/>
      </c:catAx>
      <c:valAx>
        <c:axId val="1766720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25400">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0463898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Operating Efficiency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Asset Turnover </c:v>
          </c:tx>
          <c:spPr>
            <a:ln w="28575" cap="rnd">
              <a:solidFill>
                <a:srgbClr val="00B050"/>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'11_Dashboard_Data'!$A$43:$A$45</c:f>
              <c:strCache>
                <c:ptCount val="3"/>
                <c:pt idx="0">
                  <c:v>FY23</c:v>
                </c:pt>
                <c:pt idx="1">
                  <c:v>FY24</c:v>
                </c:pt>
                <c:pt idx="2">
                  <c:v>FY25</c:v>
                </c:pt>
              </c:strCache>
            </c:strRef>
          </c:cat>
          <c:val>
            <c:numRef>
              <c:f>'11_Dashboard_Data'!$B$43:$B$45</c:f>
              <c:numCache>
                <c:formatCode>General</c:formatCode>
                <c:ptCount val="3"/>
                <c:pt idx="0">
                  <c:v>1.26</c:v>
                </c:pt>
                <c:pt idx="1">
                  <c:v>1.18</c:v>
                </c:pt>
                <c:pt idx="2">
                  <c:v>1.19</c:v>
                </c:pt>
              </c:numCache>
            </c:numRef>
          </c:val>
          <c:smooth val="0"/>
          <c:extLst>
            <c:ext xmlns:c16="http://schemas.microsoft.com/office/drawing/2014/chart" uri="{C3380CC4-5D6E-409C-BE32-E72D297353CC}">
              <c16:uniqueId val="{00000000-725F-4E31-BFDD-AC9CC320B47C}"/>
            </c:ext>
          </c:extLst>
        </c:ser>
        <c:ser>
          <c:idx val="1"/>
          <c:order val="1"/>
          <c:tx>
            <c:v>Inventory Turnover </c:v>
          </c:tx>
          <c:spPr>
            <a:ln w="28575" cap="rnd">
              <a:solidFill>
                <a:srgbClr val="7030A0"/>
              </a:solidFill>
              <a:prstDash val="solid"/>
              <a:round/>
            </a:ln>
            <a:effectLst/>
          </c:spPr>
          <c:marker>
            <c:symbol val="circle"/>
            <c:size val="5"/>
            <c:spPr>
              <a:solidFill>
                <a:srgbClr val="FF0000"/>
              </a:solidFill>
              <a:ln w="9525">
                <a:solidFill>
                  <a:schemeClr val="accent2"/>
                </a:solidFill>
              </a:ln>
              <a:effectLst/>
            </c:spPr>
          </c:marker>
          <c:cat>
            <c:strRef>
              <c:f>'11_Dashboard_Data'!$A$43:$A$45</c:f>
              <c:strCache>
                <c:ptCount val="3"/>
                <c:pt idx="0">
                  <c:v>FY23</c:v>
                </c:pt>
                <c:pt idx="1">
                  <c:v>FY24</c:v>
                </c:pt>
                <c:pt idx="2">
                  <c:v>FY25</c:v>
                </c:pt>
              </c:strCache>
            </c:strRef>
          </c:cat>
          <c:val>
            <c:numRef>
              <c:f>'11_Dashboard_Data'!$C$43:$C$45</c:f>
              <c:numCache>
                <c:formatCode>General</c:formatCode>
                <c:ptCount val="3"/>
                <c:pt idx="0">
                  <c:v>4.3099999999999996</c:v>
                </c:pt>
                <c:pt idx="1">
                  <c:v>4.74</c:v>
                </c:pt>
                <c:pt idx="2">
                  <c:v>4.7699999999999996</c:v>
                </c:pt>
              </c:numCache>
            </c:numRef>
          </c:val>
          <c:smooth val="0"/>
          <c:extLst>
            <c:ext xmlns:c16="http://schemas.microsoft.com/office/drawing/2014/chart" uri="{C3380CC4-5D6E-409C-BE32-E72D297353CC}">
              <c16:uniqueId val="{00000001-725F-4E31-BFDD-AC9CC320B47C}"/>
            </c:ext>
          </c:extLst>
        </c:ser>
        <c:dLbls>
          <c:showLegendKey val="0"/>
          <c:showVal val="0"/>
          <c:showCatName val="0"/>
          <c:showSerName val="0"/>
          <c:showPercent val="0"/>
          <c:showBubbleSize val="0"/>
        </c:dLbls>
        <c:marker val="1"/>
        <c:smooth val="0"/>
        <c:axId val="1404840455"/>
        <c:axId val="1714807815"/>
      </c:lineChart>
      <c:catAx>
        <c:axId val="1404840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07815"/>
        <c:crosses val="autoZero"/>
        <c:auto val="1"/>
        <c:lblAlgn val="ctr"/>
        <c:lblOffset val="100"/>
        <c:noMultiLvlLbl val="0"/>
      </c:catAx>
      <c:valAx>
        <c:axId val="1714807815"/>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40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Solvency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Debt to Equity</c:v>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'11_Dashboard_Data'!$A$36:$A$38</c:f>
              <c:strCache>
                <c:ptCount val="3"/>
                <c:pt idx="0">
                  <c:v>FY23</c:v>
                </c:pt>
                <c:pt idx="1">
                  <c:v>FY24</c:v>
                </c:pt>
                <c:pt idx="2">
                  <c:v>FY25</c:v>
                </c:pt>
              </c:strCache>
            </c:strRef>
          </c:cat>
          <c:val>
            <c:numRef>
              <c:f>'11_Dashboard_Data'!$B$36:$B$38</c:f>
              <c:numCache>
                <c:formatCode>General</c:formatCode>
                <c:ptCount val="3"/>
                <c:pt idx="0">
                  <c:v>0.3</c:v>
                </c:pt>
                <c:pt idx="1">
                  <c:v>0.17</c:v>
                </c:pt>
                <c:pt idx="2">
                  <c:v>0.18</c:v>
                </c:pt>
              </c:numCache>
            </c:numRef>
          </c:val>
          <c:extLst>
            <c:ext xmlns:c16="http://schemas.microsoft.com/office/drawing/2014/chart" uri="{C3380CC4-5D6E-409C-BE32-E72D297353CC}">
              <c16:uniqueId val="{00000000-6693-4D8B-8E72-AAC6BD9B1867}"/>
            </c:ext>
          </c:extLst>
        </c:ser>
        <c:dLbls>
          <c:showLegendKey val="0"/>
          <c:showVal val="0"/>
          <c:showCatName val="0"/>
          <c:showSerName val="0"/>
          <c:showPercent val="0"/>
          <c:showBubbleSize val="0"/>
        </c:dLbls>
        <c:gapWidth val="219"/>
        <c:axId val="1749121031"/>
        <c:axId val="1749151239"/>
      </c:barChart>
      <c:lineChart>
        <c:grouping val="standard"/>
        <c:varyColors val="0"/>
        <c:ser>
          <c:idx val="1"/>
          <c:order val="1"/>
          <c:tx>
            <c:v>Equity </c:v>
          </c:tx>
          <c:spPr>
            <a:ln w="28575" cap="rnd">
              <a:solidFill>
                <a:srgbClr val="0070C0"/>
              </a:solidFill>
              <a:prstDash val="solid"/>
              <a:round/>
            </a:ln>
            <a:effectLst/>
          </c:spPr>
          <c:marker>
            <c:symbol val="none"/>
          </c:marker>
          <c:cat>
            <c:strRef>
              <c:f>'11_Dashboard_Data'!$A$36:$A$38</c:f>
              <c:strCache>
                <c:ptCount val="3"/>
                <c:pt idx="0">
                  <c:v>FY23</c:v>
                </c:pt>
                <c:pt idx="1">
                  <c:v>FY24</c:v>
                </c:pt>
                <c:pt idx="2">
                  <c:v>FY25</c:v>
                </c:pt>
              </c:strCache>
            </c:strRef>
          </c:cat>
          <c:val>
            <c:numRef>
              <c:f>'11_Dashboard_Data'!$C$36:$C$38</c:f>
              <c:numCache>
                <c:formatCode>0.00%</c:formatCode>
                <c:ptCount val="3"/>
                <c:pt idx="0">
                  <c:v>0.77210000000000001</c:v>
                </c:pt>
                <c:pt idx="1">
                  <c:v>0.85489999999999999</c:v>
                </c:pt>
                <c:pt idx="2">
                  <c:v>0.85070000000000001</c:v>
                </c:pt>
              </c:numCache>
            </c:numRef>
          </c:val>
          <c:smooth val="0"/>
          <c:extLst>
            <c:ext xmlns:c16="http://schemas.microsoft.com/office/drawing/2014/chart" uri="{C3380CC4-5D6E-409C-BE32-E72D297353CC}">
              <c16:uniqueId val="{00000001-6693-4D8B-8E72-AAC6BD9B1867}"/>
            </c:ext>
          </c:extLst>
        </c:ser>
        <c:dLbls>
          <c:showLegendKey val="0"/>
          <c:showVal val="0"/>
          <c:showCatName val="0"/>
          <c:showSerName val="0"/>
          <c:showPercent val="0"/>
          <c:showBubbleSize val="0"/>
        </c:dLbls>
        <c:marker val="1"/>
        <c:smooth val="0"/>
        <c:axId val="412694536"/>
        <c:axId val="410446344"/>
      </c:lineChart>
      <c:catAx>
        <c:axId val="1749121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151239"/>
        <c:crosses val="autoZero"/>
        <c:auto val="1"/>
        <c:lblAlgn val="ctr"/>
        <c:lblOffset val="100"/>
        <c:noMultiLvlLbl val="0"/>
      </c:catAx>
      <c:valAx>
        <c:axId val="1749151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121031"/>
        <c:crosses val="autoZero"/>
        <c:crossBetween val="between"/>
      </c:valAx>
      <c:valAx>
        <c:axId val="410446344"/>
        <c:scaling>
          <c:orientation val="minMax"/>
          <c:min val="0.6"/>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94536"/>
        <c:crosses val="max"/>
        <c:crossBetween val="between"/>
      </c:valAx>
      <c:catAx>
        <c:axId val="412694536"/>
        <c:scaling>
          <c:orientation val="minMax"/>
        </c:scaling>
        <c:delete val="1"/>
        <c:axPos val="b"/>
        <c:numFmt formatCode="General" sourceLinked="1"/>
        <c:majorTickMark val="out"/>
        <c:minorTickMark val="none"/>
        <c:tickLblPos val="nextTo"/>
        <c:crossAx val="410446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xdr:colOff>
      <xdr:row>10</xdr:row>
      <xdr:rowOff>180975</xdr:rowOff>
    </xdr:from>
    <xdr:to>
      <xdr:col>7</xdr:col>
      <xdr:colOff>47625</xdr:colOff>
      <xdr:row>23</xdr:row>
      <xdr:rowOff>180975</xdr:rowOff>
    </xdr:to>
    <xdr:graphicFrame macro="">
      <xdr:nvGraphicFramePr>
        <xdr:cNvPr id="3" name="Chart 1">
          <a:extLst>
            <a:ext uri="{FF2B5EF4-FFF2-40B4-BE49-F238E27FC236}">
              <a16:creationId xmlns:a16="http://schemas.microsoft.com/office/drawing/2014/main" id="{6FE807CE-6751-4FD2-ADC6-A7CF9019B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10</xdr:row>
      <xdr:rowOff>180975</xdr:rowOff>
    </xdr:from>
    <xdr:to>
      <xdr:col>12</xdr:col>
      <xdr:colOff>1057275</xdr:colOff>
      <xdr:row>23</xdr:row>
      <xdr:rowOff>161925</xdr:rowOff>
    </xdr:to>
    <xdr:graphicFrame macro="">
      <xdr:nvGraphicFramePr>
        <xdr:cNvPr id="4" name="Chart 3">
          <a:extLst>
            <a:ext uri="{FF2B5EF4-FFF2-40B4-BE49-F238E27FC236}">
              <a16:creationId xmlns:a16="http://schemas.microsoft.com/office/drawing/2014/main" id="{DDCB44A4-81F5-B75F-04EB-D3F0335CA539}"/>
            </a:ext>
            <a:ext uri="{147F2762-F138-4A5C-976F-8EAC2B608ADB}">
              <a16:predDERef xmlns:a16="http://schemas.microsoft.com/office/drawing/2014/main" pred="{6FE807CE-6751-4FD2-ADC6-A7CF9019B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600075</xdr:colOff>
      <xdr:row>25</xdr:row>
      <xdr:rowOff>9525</xdr:rowOff>
    </xdr:from>
    <xdr:to>
      <xdr:col>7</xdr:col>
      <xdr:colOff>57150</xdr:colOff>
      <xdr:row>37</xdr:row>
      <xdr:rowOff>0</xdr:rowOff>
    </xdr:to>
    <xdr:graphicFrame macro="">
      <xdr:nvGraphicFramePr>
        <xdr:cNvPr id="2" name="Chart 2">
          <a:extLst>
            <a:ext uri="{FF2B5EF4-FFF2-40B4-BE49-F238E27FC236}">
              <a16:creationId xmlns:a16="http://schemas.microsoft.com/office/drawing/2014/main" id="{34936913-03EB-A07D-C72A-8C0904341C42}"/>
            </a:ext>
            <a:ext uri="{147F2762-F138-4A5C-976F-8EAC2B608ADB}">
              <a16:predDERef xmlns:a16="http://schemas.microsoft.com/office/drawing/2014/main" pred="{DDCB44A4-81F5-B75F-04EB-D3F0335CA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238125</xdr:colOff>
      <xdr:row>25</xdr:row>
      <xdr:rowOff>0</xdr:rowOff>
    </xdr:from>
    <xdr:to>
      <xdr:col>12</xdr:col>
      <xdr:colOff>1066800</xdr:colOff>
      <xdr:row>36</xdr:row>
      <xdr:rowOff>171450</xdr:rowOff>
    </xdr:to>
    <xdr:graphicFrame macro="">
      <xdr:nvGraphicFramePr>
        <xdr:cNvPr id="5" name="Chart 4">
          <a:extLst>
            <a:ext uri="{FF2B5EF4-FFF2-40B4-BE49-F238E27FC236}">
              <a16:creationId xmlns:a16="http://schemas.microsoft.com/office/drawing/2014/main" id="{A4A08E1C-ECA6-D9A6-728A-6788C56F5B26}"/>
            </a:ext>
            <a:ext uri="{147F2762-F138-4A5C-976F-8EAC2B608ADB}">
              <a16:predDERef xmlns:a16="http://schemas.microsoft.com/office/drawing/2014/main" pred="{34936913-03EB-A07D-C72A-8C0904341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581025</xdr:colOff>
      <xdr:row>37</xdr:row>
      <xdr:rowOff>180975</xdr:rowOff>
    </xdr:from>
    <xdr:to>
      <xdr:col>7</xdr:col>
      <xdr:colOff>95250</xdr:colOff>
      <xdr:row>50</xdr:row>
      <xdr:rowOff>0</xdr:rowOff>
    </xdr:to>
    <xdr:graphicFrame macro="">
      <xdr:nvGraphicFramePr>
        <xdr:cNvPr id="6" name="Chart 5">
          <a:extLst>
            <a:ext uri="{FF2B5EF4-FFF2-40B4-BE49-F238E27FC236}">
              <a16:creationId xmlns:a16="http://schemas.microsoft.com/office/drawing/2014/main" id="{A7F88918-7257-0DF9-8AF9-51BC87C260E8}"/>
            </a:ext>
            <a:ext uri="{147F2762-F138-4A5C-976F-8EAC2B608ADB}">
              <a16:predDERef xmlns:a16="http://schemas.microsoft.com/office/drawing/2014/main" pred="{A4A08E1C-ECA6-D9A6-728A-6788C56F5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228600</xdr:colOff>
      <xdr:row>37</xdr:row>
      <xdr:rowOff>180975</xdr:rowOff>
    </xdr:from>
    <xdr:to>
      <xdr:col>12</xdr:col>
      <xdr:colOff>1057275</xdr:colOff>
      <xdr:row>49</xdr:row>
      <xdr:rowOff>171450</xdr:rowOff>
    </xdr:to>
    <xdr:graphicFrame macro="">
      <xdr:nvGraphicFramePr>
        <xdr:cNvPr id="7" name="Chart 6">
          <a:extLst>
            <a:ext uri="{FF2B5EF4-FFF2-40B4-BE49-F238E27FC236}">
              <a16:creationId xmlns:a16="http://schemas.microsoft.com/office/drawing/2014/main" id="{430C3364-EE23-CB1E-9EE4-FABD4790B2C8}"/>
            </a:ext>
            <a:ext uri="{147F2762-F138-4A5C-976F-8EAC2B608ADB}">
              <a16:predDERef xmlns:a16="http://schemas.microsoft.com/office/drawing/2014/main" pred="{A7F88918-7257-0DF9-8AF9-51BC87C26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571500</xdr:colOff>
      <xdr:row>50</xdr:row>
      <xdr:rowOff>152400</xdr:rowOff>
    </xdr:from>
    <xdr:to>
      <xdr:col>7</xdr:col>
      <xdr:colOff>104775</xdr:colOff>
      <xdr:row>64</xdr:row>
      <xdr:rowOff>19050</xdr:rowOff>
    </xdr:to>
    <xdr:graphicFrame macro="">
      <xdr:nvGraphicFramePr>
        <xdr:cNvPr id="8" name="Chart 7">
          <a:extLst>
            <a:ext uri="{FF2B5EF4-FFF2-40B4-BE49-F238E27FC236}">
              <a16:creationId xmlns:a16="http://schemas.microsoft.com/office/drawing/2014/main" id="{C77AA575-6DD5-448E-EA1E-518459442F95}"/>
            </a:ext>
            <a:ext uri="{147F2762-F138-4A5C-976F-8EAC2B608ADB}">
              <a16:predDERef xmlns:a16="http://schemas.microsoft.com/office/drawing/2014/main" pred="{430C3364-EE23-CB1E-9EE4-FABD4790B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276225</xdr:colOff>
      <xdr:row>50</xdr:row>
      <xdr:rowOff>152400</xdr:rowOff>
    </xdr:from>
    <xdr:to>
      <xdr:col>12</xdr:col>
      <xdr:colOff>1057275</xdr:colOff>
      <xdr:row>64</xdr:row>
      <xdr:rowOff>9525</xdr:rowOff>
    </xdr:to>
    <xdr:graphicFrame macro="">
      <xdr:nvGraphicFramePr>
        <xdr:cNvPr id="9" name="Chart 8">
          <a:extLst>
            <a:ext uri="{FF2B5EF4-FFF2-40B4-BE49-F238E27FC236}">
              <a16:creationId xmlns:a16="http://schemas.microsoft.com/office/drawing/2014/main" id="{0E51AAF8-CDCA-CA55-CFFC-AA0F7F095EBA}"/>
            </a:ext>
            <a:ext uri="{147F2762-F138-4A5C-976F-8EAC2B608ADB}">
              <a16:predDERef xmlns:a16="http://schemas.microsoft.com/office/drawing/2014/main" pred="{C77AA575-6DD5-448E-EA1E-518459442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CE759B-C68F-4047-A557-6052EBB142AF}" name="Table1" displayName="Table1" ref="A1:E4" totalsRowShown="0" headerRowDxfId="46">
  <autoFilter ref="A1:E4" xr:uid="{64CE759B-C68F-4047-A557-6052EBB142AF}"/>
  <tableColumns count="5">
    <tableColumn id="1" xr3:uid="{194D17DD-F5F0-4310-83B4-E00E476D4CED}" name="Source ID"/>
    <tableColumn id="2" xr3:uid="{79985CFB-F4CD-4A2E-8D95-51CBDDB93531}" name="Report"/>
    <tableColumn id="3" xr3:uid="{1BAAE8CF-68A2-4F1C-A8D8-4C2FB886248B}" name="Year"/>
    <tableColumn id="4" xr3:uid="{E9EEEB9B-3505-4493-AE6E-34AA188C9136}" name="Pages"/>
    <tableColumn id="5" xr3:uid="{B2AA425B-0660-43F9-ADD6-62F6C260817B}" name="Statu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14976A-E300-404B-8F6F-37FE2039D5D1}" name="Table2" displayName="Table2" ref="A1:H22" totalsRowShown="0" headerRowDxfId="45">
  <autoFilter ref="A1:H22" xr:uid="{2A14976A-E300-404B-8F6F-37FE2039D5D1}"/>
  <tableColumns count="8">
    <tableColumn id="1" xr3:uid="{08287B1F-EB0B-4454-9177-2726A38CA94F}" name="Line Item"/>
    <tableColumn id="2" xr3:uid="{B85A60E7-C0A2-43E8-9FBD-9F1C2406E0C5}" name="FY23"/>
    <tableColumn id="3" xr3:uid="{9C1CBA0E-E969-4D76-A41D-F7D5A4B864A8}" name="FY24"/>
    <tableColumn id="4" xr3:uid="{776A2D38-2B50-493F-A6BA-680933FDEB65}" name="FY25"/>
    <tableColumn id="5" xr3:uid="{ADE01F28-0664-4A7D-A7E0-E797EA1DB6C5}" name="FY23 Page"/>
    <tableColumn id="6" xr3:uid="{7EC4535D-D1CE-450F-893F-D8834041A7CC}" name="FY24 Page"/>
    <tableColumn id="7" xr3:uid="{DC1646A4-ABDC-4489-97FA-20D4BCDFE8A1}" name="FY25 Page"/>
    <tableColumn id="8" xr3:uid="{501300C3-7A0D-4EFD-ADD3-BA08183EF885}" name="Not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30EF40-8185-47F3-9B7A-A151A4023CB6}" name="Table4" displayName="Table4" ref="A1:H21" totalsRowShown="0" headerRowDxfId="44" headerRowBorderDxfId="42" tableBorderDxfId="43">
  <autoFilter ref="A1:H21" xr:uid="{4030EF40-8185-47F3-9B7A-A151A4023CB6}"/>
  <tableColumns count="8">
    <tableColumn id="1" xr3:uid="{24565026-4135-4CD6-9734-8842FFAB36EA}" name="Line Item"/>
    <tableColumn id="2" xr3:uid="{3B7092B1-23EA-428C-9DEC-1EA849F88357}" name="FY23"/>
    <tableColumn id="3" xr3:uid="{7932ACFD-9B90-4991-818B-11347C90F1D9}" name="FY24"/>
    <tableColumn id="4" xr3:uid="{EFAB8996-EF0C-4E43-BE78-477C07DEAA50}" name="FY25"/>
    <tableColumn id="5" xr3:uid="{3643B8EA-7861-4D4D-A02B-FD36EDD7572B}" name="FY23 Page"/>
    <tableColumn id="6" xr3:uid="{6F322982-D6E8-474C-BB61-8778D3FFB124}" name="FY24 Page"/>
    <tableColumn id="7" xr3:uid="{5C13E2CA-F52B-404F-A8B7-AFCA5ADCA25C}" name="FY25 Page"/>
    <tableColumn id="8" xr3:uid="{B85EE6CE-EE47-469B-9EFA-C720125391D0}" name="Notes"/>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CD8101-1BE8-40CD-9465-5E4ED6A551BC}" name="Table5" displayName="Table5" ref="A1:H33" totalsRowShown="0" headerRowDxfId="41" headerRowBorderDxfId="39" tableBorderDxfId="40">
  <autoFilter ref="A1:H33" xr:uid="{6ECD8101-1BE8-40CD-9465-5E4ED6A551BC}"/>
  <tableColumns count="8">
    <tableColumn id="1" xr3:uid="{B2422A4B-F723-427A-9A79-C57852F11AF3}" name="Line Item"/>
    <tableColumn id="2" xr3:uid="{4307F903-063C-4BD6-942A-E27552670080}" name="FY23"/>
    <tableColumn id="3" xr3:uid="{6A2C9818-1560-444F-AF53-B6AD316D42AA}" name="FY24"/>
    <tableColumn id="4" xr3:uid="{082C2CEA-AB7B-47CE-BD24-50CD6B2423EB}" name="FY25"/>
    <tableColumn id="5" xr3:uid="{4A664E95-B7FA-4B10-AF7B-79F59D5E709A}" name="FY23 Page"/>
    <tableColumn id="6" xr3:uid="{7418005F-980B-4611-BF12-289D2F6891BB}" name="FY24 Page"/>
    <tableColumn id="7" xr3:uid="{EE273CCE-430E-4D39-AF36-16AFDEFAB60A}" name="FY25 Page"/>
    <tableColumn id="8" xr3:uid="{057F7A1F-67BD-40CF-846F-AB4434A6B6E3}" name="Notes"/>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29681D-B170-4D06-BD56-CD6F2926ACFE}" name="Table6" displayName="Table6" ref="A1:H13" totalsRowShown="0" headerRowDxfId="38" headerRowBorderDxfId="36" tableBorderDxfId="37">
  <autoFilter ref="A1:H13" xr:uid="{2629681D-B170-4D06-BD56-CD6F2926ACFE}"/>
  <tableColumns count="8">
    <tableColumn id="1" xr3:uid="{5F0EC032-1303-40C2-ACDB-73C1229EA80E}" name="Line Item" dataDxfId="35"/>
    <tableColumn id="2" xr3:uid="{2E4B22EA-81CC-447D-8F72-BD62326C65F2}" name="FY23" dataDxfId="34">
      <calculatedColumnFormula>'03_Raw_Income_Statement'!B5</calculatedColumnFormula>
    </tableColumn>
    <tableColumn id="3" xr3:uid="{992CF1EC-F9E1-46F1-B5C5-407FBDFED5B7}" name="FY24"/>
    <tableColumn id="4" xr3:uid="{FCB7BAE0-D302-404B-9232-B1231BCCDC3E}" name="FY25"/>
    <tableColumn id="5" xr3:uid="{BA4DB399-B4C8-41E5-97A7-361BDC6DC25D}" name="FY23 Page"/>
    <tableColumn id="6" xr3:uid="{4441315A-BAE4-4E3F-ADA5-52CD2D79B740}" name="FY24 Page"/>
    <tableColumn id="7" xr3:uid="{605F6D23-727F-4C18-BBBE-39F682A61726}" name="FY25 Page"/>
    <tableColumn id="8" xr3:uid="{6C8CB0BE-8C5C-4217-95B3-830D330C1E65}" name="Notes"/>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D04EE4-F482-445B-8DC7-A097E87B1303}" name="Table7" displayName="Table7" ref="A1:H22" totalsRowShown="0" headerRowDxfId="33" headerRowBorderDxfId="31" tableBorderDxfId="32">
  <autoFilter ref="A1:H22" xr:uid="{56D04EE4-F482-445B-8DC7-A097E87B1303}"/>
  <tableColumns count="8">
    <tableColumn id="1" xr3:uid="{4BA2B099-450F-4BAC-A216-0F83E53D2298}" name="Line Item"/>
    <tableColumn id="2" xr3:uid="{34892CE7-30DA-4F83-8F4D-C5F2A57473B3}" name="FY23"/>
    <tableColumn id="3" xr3:uid="{DA9AEE91-2C45-4C0B-AFA1-99EF111ACEB3}" name="FY24"/>
    <tableColumn id="4" xr3:uid="{787D9EE5-FD34-4847-9783-F81A7F31E938}" name="FY25"/>
    <tableColumn id="5" xr3:uid="{DB6336F9-75EC-4BA0-9D4E-B4FD5E2EAEB0}" name="FY23 Page"/>
    <tableColumn id="6" xr3:uid="{D80FBD3A-8DB9-4614-B8A7-F1B88D3CA569}" name="FY24 Page"/>
    <tableColumn id="7" xr3:uid="{266F2488-08C9-4FDB-9E9C-85294B4C4C1C}" name="FY25 Page"/>
    <tableColumn id="8" xr3:uid="{5C3B9461-4C65-460A-9133-FAA05F34BE45}" name="Notes"/>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E8DACF-0201-47E6-BCB7-677BAC18D8D6}" name="Table8" displayName="Table8" ref="A1:D24" totalsRowShown="0" headerRowDxfId="30" headerRowBorderDxfId="28" tableBorderDxfId="29">
  <autoFilter ref="A1:D24" xr:uid="{C8E8DACF-0201-47E6-BCB7-677BAC18D8D6}"/>
  <tableColumns count="4">
    <tableColumn id="1" xr3:uid="{2CB18880-AAC9-4A3D-9DFE-3391371C95E1}" name="Line Item"/>
    <tableColumn id="2" xr3:uid="{B814FA2E-7CB9-42F6-88AA-E91CF55D9BF3}" name="FY23"/>
    <tableColumn id="3" xr3:uid="{E27280A9-3D29-4B89-A0F5-CAAA0EBE854D}" name="FY24"/>
    <tableColumn id="4" xr3:uid="{40354907-C1B3-4412-A8E7-DE3F376B3B92}" name="FY25"/>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C7589F-1DE8-4B44-BF7D-C97A5FCBF614}" name="Table3" displayName="Table3" ref="A1:F13" totalsRowShown="0" headerRowDxfId="27">
  <autoFilter ref="A1:F13" xr:uid="{87C7589F-1DE8-4B44-BF7D-C97A5FCBF614}"/>
  <tableColumns count="6">
    <tableColumn id="1" xr3:uid="{0C074374-BE97-4B2B-AC31-8764CA478308}" name="Ratio"/>
    <tableColumn id="2" xr3:uid="{678CA9BF-5BEE-4890-8916-9876D48D35D8}" name="Formula"/>
    <tableColumn id="3" xr3:uid="{B7A4D2CE-1FC4-47F3-AC5E-2C3730150AFB}" name="FY23" dataDxfId="26">
      <calculatedColumnFormula>(Table6[[#This Row],[FY23]]-'06_Standardized_P&amp;L'!B3)/Table6[[#This Row],[FY23]]</calculatedColumnFormula>
    </tableColumn>
    <tableColumn id="4" xr3:uid="{4300C904-155F-432A-A22A-685C0EB55DD4}" name="FY24"/>
    <tableColumn id="5" xr3:uid="{5B264EE9-47C2-4FCD-B9F0-A3623CD06A2A}" name="FY25"/>
    <tableColumn id="6" xr3:uid="{B1CE67C2-AF61-4787-A5F0-F69D6FC6CE99}" name="FY23→FY25 Change">
      <calculatedColumnFormula>Table3[[#This Row],[FY25]]/Table3[[#This Row],[FY23]]-1</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AA55E88-E2D6-4251-8A04-C71F88E22F46}" name="Table10" displayName="Table10" ref="A1:H26" totalsRowShown="0" headerRowDxfId="25" dataDxfId="24">
  <autoFilter ref="A1:H26" xr:uid="{6AA55E88-E2D6-4251-8A04-C71F88E22F46}"/>
  <tableColumns count="8">
    <tableColumn id="1" xr3:uid="{3BE17C72-70CD-4DDE-A37A-6B13F3CC7E4F}" name="Category" dataDxfId="23"/>
    <tableColumn id="2" xr3:uid="{7B6AC812-935A-4659-9C87-C639FB0DF89B}" name="KPI" dataDxfId="22"/>
    <tableColumn id="3" xr3:uid="{AB49881C-D111-4F0D-9063-BD5F8A64FBE4}" name="FY23" dataDxfId="21"/>
    <tableColumn id="4" xr3:uid="{87CCAE06-96D4-4D33-AD84-88E50B27709F}" name="FY24" dataDxfId="20"/>
    <tableColumn id="5" xr3:uid="{D9870DDD-A065-4F3B-A438-F1874EF33316}" name="FY25" dataDxfId="19"/>
    <tableColumn id="6" xr3:uid="{318ABD8A-17D2-401F-B06E-461A24A21968}" name="FY23–FY25 Change" dataDxfId="18"/>
    <tableColumn id="7" xr3:uid="{EC18DCC5-E3B7-4CD4-954D-941DB0E19A4E}" name="Trend"/>
    <tableColumn id="8" xr3:uid="{253FEC59-DF74-42F2-9246-86235D00C2F4}" name="Analyst Interpretation" dataDxfId="17"/>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547D76-9835-4EA2-997A-2AC01BC17D37}" name="Table9" displayName="Table9" ref="A3:E10" totalsRowShown="0">
  <autoFilter ref="A3:E10" xr:uid="{A0547D76-9835-4EA2-997A-2AC01BC17D37}"/>
  <tableColumns count="5">
    <tableColumn id="1" xr3:uid="{53E0B762-54EB-4200-9F3D-13503DE97B61}" name="KPI"/>
    <tableColumn id="2" xr3:uid="{447A29D5-E0E5-4F2E-8127-BE84222D360F}" name="FY23"/>
    <tableColumn id="3" xr3:uid="{F37DF0ED-1C70-4E9B-BEF8-4E778F365E78}" name="FY24"/>
    <tableColumn id="4" xr3:uid="{7D7379AD-FA5C-44E0-82E9-CB228D33D887}" name="FY25"/>
    <tableColumn id="5" xr3:uid="{ACAA353C-3C84-4EA9-AAB8-5D48729201C5}" name="3-Year Change"/>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10AC747-8B2D-4C35-B97C-5E9F4E1EA9AB}" name="Table11" displayName="Table11" ref="A14:D17" totalsRowShown="0" headerRowDxfId="16">
  <autoFilter ref="A14:D17" xr:uid="{F10AC747-8B2D-4C35-B97C-5E9F4E1EA9AB}"/>
  <tableColumns count="4">
    <tableColumn id="1" xr3:uid="{1211DBD2-AC31-44C4-AC2B-57F8C52FD594}" name="Year"/>
    <tableColumn id="2" xr3:uid="{7D3269C5-292E-4086-B27A-C7B2A7062B38}" name="Revenue" dataDxfId="15"/>
    <tableColumn id="3" xr3:uid="{5EBACABF-1F11-48EE-9583-1D1BFF09B2D6}" name="Operating Profit" dataDxfId="14"/>
    <tableColumn id="4" xr3:uid="{F4BE19D5-6893-41ED-8FD7-39C24928D3AA}" name="Net Profit" dataDxfId="13"/>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21E4DF-6554-43EE-AC36-4F483CDF93B2}" name="Table12" displayName="Table12" ref="A21:D24" totalsRowShown="0" headerRowDxfId="12">
  <autoFilter ref="A21:D24" xr:uid="{F121E4DF-6554-43EE-AC36-4F483CDF93B2}"/>
  <tableColumns count="4">
    <tableColumn id="1" xr3:uid="{687474F4-0D0C-4A8A-8177-9E9EED70FA16}" name="Year"/>
    <tableColumn id="2" xr3:uid="{B331A1FE-C0D4-486D-9944-B9E404B3735A}" name="Gross Margin" dataDxfId="11"/>
    <tableColumn id="3" xr3:uid="{91235933-B485-4B8D-AFBF-E9025D898E29}" name="Operating Margin" dataDxfId="10"/>
    <tableColumn id="4" xr3:uid="{0298BE88-01BD-4C3C-A553-D57978F34B0C}" name="Net Profit Margin" dataDxfId="9"/>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2092EFB-4DEA-4619-B4AA-BE509FDD12CF}" name="Table13" displayName="Table13" ref="A28:C31" totalsRowShown="0" headerRowDxfId="8">
  <autoFilter ref="A28:C31" xr:uid="{D2092EFB-4DEA-4619-B4AA-BE509FDD12CF}"/>
  <tableColumns count="3">
    <tableColumn id="1" xr3:uid="{D2203D6F-5FD4-4B11-9BB8-BC44CCA52046}" name="Year"/>
    <tableColumn id="2" xr3:uid="{A1CE6C9E-6441-475E-A31A-8442EAD3C9C3}" name="Current Ratio"/>
    <tableColumn id="3" xr3:uid="{7C63FFA4-91F4-4642-A3D4-FF31B3EC1F44}" name="Quick Ratio"/>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034D225-3F99-41E9-B620-E5023C3F35F2}" name="Table14" displayName="Table14" ref="A35:C38" totalsRowShown="0" headerRowDxfId="7">
  <autoFilter ref="A35:C38" xr:uid="{3034D225-3F99-41E9-B620-E5023C3F35F2}"/>
  <tableColumns count="3">
    <tableColumn id="1" xr3:uid="{729BF1A2-AABE-4952-965D-235465A7DA2E}" name="Year"/>
    <tableColumn id="2" xr3:uid="{880D8743-D2E0-473F-9E89-D6F55767C7EC}" name="Debt-to-Equity"/>
    <tableColumn id="3" xr3:uid="{7008322D-040D-4280-AD46-9004A75E34F8}" name="Equity Ratio" dataDxfId="6"/>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2CABBD8-7F29-4992-9DF5-26AC65A605CF}" name="Table15" displayName="Table15" ref="A42:C45" totalsRowShown="0" headerRowDxfId="5">
  <autoFilter ref="A42:C45" xr:uid="{A2CABBD8-7F29-4992-9DF5-26AC65A605CF}"/>
  <tableColumns count="3">
    <tableColumn id="1" xr3:uid="{4F986D01-DCAD-4BFB-9A03-2B2801080EA3}" name="Year"/>
    <tableColumn id="2" xr3:uid="{62C03F3A-397D-4DA5-A387-7FD401E2D29B}" name="Asset Turnover"/>
    <tableColumn id="3" xr3:uid="{5BF699AE-65FC-4BD8-97CE-459F44672BF4}" name="Inventory Turnover"/>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20EEFF-E34A-4BF3-BDE8-E7E7A7DAC933}" name="Table18" displayName="Table18" ref="A49:D52" totalsRowShown="0" headerRowDxfId="4">
  <autoFilter ref="A49:D52" xr:uid="{8320EEFF-E34A-4BF3-BDE8-E7E7A7DAC933}"/>
  <tableColumns count="4">
    <tableColumn id="1" xr3:uid="{6D2DAE7B-A30A-4DF3-9068-D5B100FF2F4C}" name="Year"/>
    <tableColumn id="2" xr3:uid="{ABF5FF41-12BC-4BF0-98DF-268269D8E16B}" name="Operating CF" dataDxfId="3"/>
    <tableColumn id="3" xr3:uid="{6A80C141-DC71-4FAB-92EE-EE4AF8A51ADC}" name="Investing CF"/>
    <tableColumn id="4" xr3:uid="{5B03D7FC-7AD5-4966-A5AA-D74B38D0F8F0}" name="Financing CF"/>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CE49C0-6F01-42EB-B985-D6399A24B4F0}" name="Table19" displayName="Table19" ref="A56:C59" totalsRowShown="0" headerRowDxfId="2">
  <autoFilter ref="A56:C59" xr:uid="{C7CE49C0-6F01-42EB-B985-D6399A24B4F0}"/>
  <tableColumns count="3">
    <tableColumn id="1" xr3:uid="{A0BB298D-2980-4AA5-BABB-3589BE9E5D22}" name="Year"/>
    <tableColumn id="2" xr3:uid="{65DE3B10-4F2E-4500-873A-840FF509A570}" name="ROA" dataDxfId="1"/>
    <tableColumn id="3" xr3:uid="{B631D184-FD1C-4927-AD89-506947537439}" name="RO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6"/>
  <sheetViews>
    <sheetView workbookViewId="0">
      <selection activeCell="B13" sqref="B13"/>
    </sheetView>
  </sheetViews>
  <sheetFormatPr defaultRowHeight="15"/>
  <cols>
    <col min="2" max="2" width="28.7109375" bestFit="1" customWidth="1"/>
    <col min="3" max="3" width="31.140625" bestFit="1" customWidth="1"/>
  </cols>
  <sheetData>
    <row r="2" spans="2:3" ht="18.75">
      <c r="B2" s="2" t="s">
        <v>0</v>
      </c>
    </row>
    <row r="3" spans="2:3" ht="18.75">
      <c r="B3" s="2" t="s">
        <v>1</v>
      </c>
    </row>
    <row r="4" spans="2:3" ht="18.75">
      <c r="B4" s="2" t="s">
        <v>2</v>
      </c>
    </row>
    <row r="6" spans="2:3">
      <c r="B6" s="7" t="s">
        <v>3</v>
      </c>
      <c r="C6" s="3" t="s">
        <v>4</v>
      </c>
    </row>
    <row r="7" spans="2:3">
      <c r="B7" s="8" t="s">
        <v>5</v>
      </c>
      <c r="C7" s="4" t="s">
        <v>6</v>
      </c>
    </row>
    <row r="8" spans="2:3">
      <c r="B8" s="8" t="s">
        <v>7</v>
      </c>
      <c r="C8" s="4" t="s">
        <v>8</v>
      </c>
    </row>
    <row r="9" spans="2:3">
      <c r="B9" s="8" t="s">
        <v>9</v>
      </c>
      <c r="C9" s="5">
        <v>46265</v>
      </c>
    </row>
    <row r="10" spans="2:3">
      <c r="B10" s="9" t="s">
        <v>10</v>
      </c>
      <c r="C10" s="6" t="s">
        <v>11</v>
      </c>
    </row>
    <row r="16" spans="2:3">
      <c r="B16"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68C8-6004-4E43-A0AA-95FDDCF0535A}">
  <dimension ref="A1:E4"/>
  <sheetViews>
    <sheetView workbookViewId="0">
      <selection activeCell="H4" sqref="H4"/>
    </sheetView>
  </sheetViews>
  <sheetFormatPr defaultRowHeight="15"/>
  <cols>
    <col min="1" max="1" width="15.42578125" bestFit="1" customWidth="1"/>
    <col min="2" max="2" width="13.85546875" bestFit="1" customWidth="1"/>
    <col min="3" max="3" width="7.42578125" bestFit="1" customWidth="1"/>
  </cols>
  <sheetData>
    <row r="1" spans="1:5">
      <c r="A1" s="1" t="s">
        <v>13</v>
      </c>
      <c r="B1" s="1" t="s">
        <v>14</v>
      </c>
      <c r="C1" s="1" t="s">
        <v>15</v>
      </c>
      <c r="D1" s="1" t="s">
        <v>16</v>
      </c>
      <c r="E1" s="1" t="s">
        <v>10</v>
      </c>
    </row>
    <row r="2" spans="1:5">
      <c r="A2" t="s">
        <v>17</v>
      </c>
      <c r="B2" t="s">
        <v>18</v>
      </c>
      <c r="C2" t="s">
        <v>19</v>
      </c>
      <c r="D2" t="s">
        <v>20</v>
      </c>
      <c r="E2" t="s">
        <v>21</v>
      </c>
    </row>
    <row r="3" spans="1:5">
      <c r="A3" t="s">
        <v>22</v>
      </c>
      <c r="B3" t="s">
        <v>18</v>
      </c>
      <c r="C3" t="s">
        <v>23</v>
      </c>
      <c r="D3" t="s">
        <v>20</v>
      </c>
      <c r="E3" t="s">
        <v>21</v>
      </c>
    </row>
    <row r="4" spans="1:5">
      <c r="A4" t="s">
        <v>24</v>
      </c>
      <c r="B4" t="s">
        <v>18</v>
      </c>
      <c r="C4" t="s">
        <v>25</v>
      </c>
      <c r="D4" t="s">
        <v>20</v>
      </c>
      <c r="E4"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AF03-6C93-47B1-B18B-079D161259C1}">
  <dimension ref="A1:H24"/>
  <sheetViews>
    <sheetView topLeftCell="A9" workbookViewId="0">
      <selection activeCell="E24" sqref="E24"/>
    </sheetView>
  </sheetViews>
  <sheetFormatPr defaultRowHeight="15"/>
  <cols>
    <col min="1" max="1" width="26.7109375" bestFit="1" customWidth="1"/>
    <col min="5" max="7" width="12.42578125" bestFit="1" customWidth="1"/>
    <col min="8" max="8" width="8.7109375" bestFit="1" customWidth="1"/>
  </cols>
  <sheetData>
    <row r="1" spans="1:8" s="1" customFormat="1">
      <c r="A1" s="25" t="s">
        <v>26</v>
      </c>
      <c r="B1" s="25" t="s">
        <v>19</v>
      </c>
      <c r="C1" s="25" t="s">
        <v>23</v>
      </c>
      <c r="D1" s="25" t="s">
        <v>25</v>
      </c>
      <c r="E1" s="25" t="s">
        <v>27</v>
      </c>
      <c r="F1" s="25" t="s">
        <v>28</v>
      </c>
      <c r="G1" s="25" t="s">
        <v>29</v>
      </c>
      <c r="H1" s="25" t="s">
        <v>30</v>
      </c>
    </row>
    <row r="2" spans="1:8">
      <c r="A2" t="s">
        <v>31</v>
      </c>
      <c r="B2" s="12">
        <v>29109</v>
      </c>
      <c r="C2" s="12">
        <v>26596</v>
      </c>
      <c r="D2" s="12">
        <v>26183</v>
      </c>
      <c r="E2">
        <v>15</v>
      </c>
      <c r="F2">
        <v>15</v>
      </c>
      <c r="G2">
        <v>15</v>
      </c>
    </row>
    <row r="3" spans="1:8">
      <c r="A3" t="s">
        <v>32</v>
      </c>
      <c r="B3">
        <v>-152</v>
      </c>
      <c r="C3">
        <v>-82</v>
      </c>
      <c r="D3">
        <v>107</v>
      </c>
      <c r="E3">
        <v>15</v>
      </c>
      <c r="F3">
        <v>15</v>
      </c>
      <c r="G3">
        <v>15</v>
      </c>
    </row>
    <row r="4" spans="1:8">
      <c r="A4" t="s">
        <v>33</v>
      </c>
      <c r="B4">
        <v>106</v>
      </c>
      <c r="C4">
        <v>24</v>
      </c>
      <c r="D4">
        <v>16</v>
      </c>
      <c r="E4">
        <v>15</v>
      </c>
      <c r="F4">
        <v>15</v>
      </c>
      <c r="G4">
        <v>15</v>
      </c>
    </row>
    <row r="5" spans="1:8">
      <c r="A5" s="1" t="s">
        <v>34</v>
      </c>
      <c r="B5" s="13">
        <v>29063</v>
      </c>
      <c r="C5" s="13">
        <v>26538</v>
      </c>
      <c r="D5" s="13">
        <v>26306</v>
      </c>
      <c r="E5">
        <v>15</v>
      </c>
      <c r="F5">
        <v>15</v>
      </c>
      <c r="G5">
        <v>15</v>
      </c>
      <c r="H5" t="s">
        <v>35</v>
      </c>
    </row>
    <row r="6" spans="1:8">
      <c r="A6" t="s">
        <v>36</v>
      </c>
      <c r="B6" s="12">
        <v>23824</v>
      </c>
      <c r="C6" s="12">
        <v>21048</v>
      </c>
      <c r="D6" s="12">
        <v>21328</v>
      </c>
      <c r="E6">
        <v>15</v>
      </c>
      <c r="F6">
        <v>15</v>
      </c>
      <c r="G6">
        <v>15</v>
      </c>
    </row>
    <row r="7" spans="1:8">
      <c r="A7" t="s">
        <v>37</v>
      </c>
      <c r="B7">
        <v>239</v>
      </c>
      <c r="C7">
        <v>227</v>
      </c>
      <c r="D7">
        <v>239</v>
      </c>
      <c r="E7">
        <v>15</v>
      </c>
      <c r="F7">
        <v>15</v>
      </c>
      <c r="G7">
        <v>15</v>
      </c>
    </row>
    <row r="8" spans="1:8">
      <c r="A8" t="s">
        <v>38</v>
      </c>
      <c r="B8">
        <v>999</v>
      </c>
      <c r="C8">
        <v>978</v>
      </c>
      <c r="D8" s="12">
        <v>1099</v>
      </c>
      <c r="E8">
        <v>15</v>
      </c>
      <c r="F8">
        <v>15</v>
      </c>
      <c r="G8">
        <v>15</v>
      </c>
    </row>
    <row r="9" spans="1:8">
      <c r="A9" t="s">
        <v>39</v>
      </c>
      <c r="B9">
        <v>236</v>
      </c>
      <c r="C9">
        <v>230</v>
      </c>
      <c r="D9">
        <v>259</v>
      </c>
      <c r="E9">
        <v>15</v>
      </c>
      <c r="F9">
        <v>15</v>
      </c>
      <c r="G9">
        <v>15</v>
      </c>
    </row>
    <row r="10" spans="1:8">
      <c r="A10" t="s">
        <v>40</v>
      </c>
      <c r="B10">
        <v>98</v>
      </c>
      <c r="C10">
        <v>102</v>
      </c>
      <c r="D10">
        <v>116</v>
      </c>
      <c r="E10">
        <v>15</v>
      </c>
      <c r="F10">
        <v>15</v>
      </c>
      <c r="G10">
        <v>15</v>
      </c>
    </row>
    <row r="11" spans="1:8">
      <c r="A11" t="s">
        <v>41</v>
      </c>
      <c r="B11">
        <v>460</v>
      </c>
      <c r="C11">
        <v>462</v>
      </c>
      <c r="D11">
        <v>510</v>
      </c>
      <c r="E11">
        <v>15</v>
      </c>
      <c r="F11">
        <v>15</v>
      </c>
      <c r="G11">
        <v>15</v>
      </c>
    </row>
    <row r="12" spans="1:8">
      <c r="A12" t="s">
        <v>42</v>
      </c>
      <c r="B12">
        <v>0</v>
      </c>
      <c r="C12">
        <v>27</v>
      </c>
      <c r="D12">
        <v>-2</v>
      </c>
      <c r="E12">
        <v>15</v>
      </c>
      <c r="F12">
        <v>15</v>
      </c>
      <c r="G12">
        <v>15</v>
      </c>
    </row>
    <row r="13" spans="1:8">
      <c r="A13" t="s">
        <v>43</v>
      </c>
      <c r="B13">
        <v>961</v>
      </c>
      <c r="C13" s="12">
        <v>1125</v>
      </c>
      <c r="D13" s="12">
        <v>1032</v>
      </c>
      <c r="E13">
        <v>15</v>
      </c>
      <c r="F13">
        <v>15</v>
      </c>
      <c r="G13">
        <v>15</v>
      </c>
    </row>
    <row r="14" spans="1:8">
      <c r="A14" s="1" t="s">
        <v>44</v>
      </c>
      <c r="B14" s="13">
        <v>26817</v>
      </c>
      <c r="C14" s="13">
        <v>24199</v>
      </c>
      <c r="D14" s="13">
        <v>24581</v>
      </c>
      <c r="E14">
        <v>15</v>
      </c>
      <c r="F14">
        <v>15</v>
      </c>
      <c r="G14">
        <v>15</v>
      </c>
    </row>
    <row r="15" spans="1:8">
      <c r="A15" t="s">
        <v>45</v>
      </c>
      <c r="B15" s="12">
        <v>2246</v>
      </c>
      <c r="C15" s="12">
        <v>2339</v>
      </c>
      <c r="D15" s="12">
        <v>1725</v>
      </c>
      <c r="E15">
        <v>15</v>
      </c>
      <c r="F15">
        <v>15</v>
      </c>
      <c r="G15">
        <v>15</v>
      </c>
    </row>
    <row r="16" spans="1:8">
      <c r="A16" t="s">
        <v>46</v>
      </c>
      <c r="B16">
        <v>211</v>
      </c>
      <c r="C16">
        <v>400</v>
      </c>
      <c r="D16">
        <v>273</v>
      </c>
      <c r="E16">
        <v>15</v>
      </c>
      <c r="F16">
        <v>15</v>
      </c>
      <c r="G16">
        <v>15</v>
      </c>
      <c r="H16" t="s">
        <v>47</v>
      </c>
    </row>
    <row r="17" spans="1:8">
      <c r="A17" t="s">
        <v>48</v>
      </c>
      <c r="B17">
        <v>511</v>
      </c>
      <c r="C17">
        <v>74</v>
      </c>
      <c r="D17">
        <v>46</v>
      </c>
      <c r="E17">
        <v>15</v>
      </c>
      <c r="F17">
        <v>15</v>
      </c>
      <c r="G17">
        <v>15</v>
      </c>
    </row>
    <row r="18" spans="1:8">
      <c r="A18" t="s">
        <v>49</v>
      </c>
      <c r="B18">
        <v>-300</v>
      </c>
      <c r="C18">
        <v>326</v>
      </c>
      <c r="D18">
        <v>227</v>
      </c>
      <c r="E18">
        <v>15</v>
      </c>
      <c r="F18">
        <v>15</v>
      </c>
      <c r="G18">
        <v>15</v>
      </c>
    </row>
    <row r="19" spans="1:8">
      <c r="A19" t="s">
        <v>50</v>
      </c>
      <c r="B19" s="12">
        <v>1946</v>
      </c>
      <c r="C19" s="12">
        <v>2665</v>
      </c>
      <c r="D19" s="12">
        <v>1952</v>
      </c>
      <c r="E19">
        <v>15</v>
      </c>
      <c r="F19">
        <v>15</v>
      </c>
      <c r="G19">
        <v>15</v>
      </c>
    </row>
    <row r="20" spans="1:8">
      <c r="A20" t="s">
        <v>51</v>
      </c>
      <c r="B20">
        <v>307</v>
      </c>
      <c r="C20">
        <v>466</v>
      </c>
      <c r="D20">
        <v>415</v>
      </c>
      <c r="E20">
        <v>15</v>
      </c>
      <c r="F20">
        <v>15</v>
      </c>
      <c r="G20">
        <v>15</v>
      </c>
      <c r="H20" t="s">
        <v>52</v>
      </c>
    </row>
    <row r="21" spans="1:8">
      <c r="A21" t="s">
        <v>53</v>
      </c>
      <c r="B21">
        <v>0</v>
      </c>
      <c r="C21">
        <v>0</v>
      </c>
      <c r="D21">
        <v>-41</v>
      </c>
      <c r="E21">
        <v>15</v>
      </c>
      <c r="F21">
        <v>15</v>
      </c>
      <c r="G21">
        <v>15</v>
      </c>
    </row>
    <row r="22" spans="1:8">
      <c r="A22" s="1" t="s">
        <v>54</v>
      </c>
      <c r="B22" s="13">
        <v>1639</v>
      </c>
      <c r="C22" s="13">
        <v>2199</v>
      </c>
      <c r="D22" s="13">
        <v>1496</v>
      </c>
      <c r="E22">
        <v>15</v>
      </c>
      <c r="F22">
        <v>15</v>
      </c>
      <c r="G22">
        <v>15</v>
      </c>
    </row>
    <row r="24" spans="1:8">
      <c r="E24" s="1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829C-1218-4700-897F-4AC69E1E2EDE}">
  <dimension ref="A1:H20"/>
  <sheetViews>
    <sheetView workbookViewId="0">
      <selection sqref="A1:H1"/>
    </sheetView>
  </sheetViews>
  <sheetFormatPr defaultRowHeight="15"/>
  <cols>
    <col min="1" max="1" width="26.5703125" bestFit="1" customWidth="1"/>
    <col min="5" max="7" width="12.42578125" bestFit="1" customWidth="1"/>
    <col min="8" max="8" width="14.28515625" bestFit="1" customWidth="1"/>
  </cols>
  <sheetData>
    <row r="1" spans="1:8">
      <c r="A1" s="26" t="s">
        <v>26</v>
      </c>
      <c r="B1" s="27" t="s">
        <v>19</v>
      </c>
      <c r="C1" s="27" t="s">
        <v>23</v>
      </c>
      <c r="D1" s="27" t="s">
        <v>25</v>
      </c>
      <c r="E1" s="27" t="s">
        <v>27</v>
      </c>
      <c r="F1" s="27" t="s">
        <v>28</v>
      </c>
      <c r="G1" s="27" t="s">
        <v>29</v>
      </c>
      <c r="H1" s="28" t="s">
        <v>30</v>
      </c>
    </row>
    <row r="2" spans="1:8">
      <c r="A2" s="1" t="s">
        <v>55</v>
      </c>
    </row>
    <row r="3" spans="1:8">
      <c r="A3" t="s">
        <v>56</v>
      </c>
      <c r="B3" s="12">
        <v>9094</v>
      </c>
      <c r="C3" s="12">
        <v>8821</v>
      </c>
      <c r="D3" s="12">
        <v>8899</v>
      </c>
      <c r="E3">
        <v>14</v>
      </c>
      <c r="F3">
        <v>14</v>
      </c>
      <c r="G3">
        <v>14</v>
      </c>
      <c r="H3" t="s">
        <v>57</v>
      </c>
    </row>
    <row r="4" spans="1:8">
      <c r="A4" t="s">
        <v>58</v>
      </c>
      <c r="B4" s="12">
        <v>1742</v>
      </c>
      <c r="C4" s="12">
        <v>1794</v>
      </c>
      <c r="D4" s="12">
        <v>1952</v>
      </c>
      <c r="E4">
        <v>14</v>
      </c>
      <c r="F4">
        <v>14</v>
      </c>
      <c r="G4">
        <v>14</v>
      </c>
      <c r="H4" t="s">
        <v>59</v>
      </c>
    </row>
    <row r="5" spans="1:8">
      <c r="A5" t="s">
        <v>60</v>
      </c>
      <c r="B5">
        <v>337</v>
      </c>
      <c r="C5">
        <v>303</v>
      </c>
      <c r="D5">
        <v>285</v>
      </c>
      <c r="E5">
        <v>14</v>
      </c>
      <c r="F5">
        <v>14</v>
      </c>
      <c r="G5">
        <v>14</v>
      </c>
      <c r="H5" t="s">
        <v>61</v>
      </c>
    </row>
    <row r="6" spans="1:8">
      <c r="A6" s="1" t="s">
        <v>62</v>
      </c>
      <c r="B6" s="13">
        <v>11173</v>
      </c>
      <c r="C6" s="13">
        <v>10918</v>
      </c>
      <c r="D6" s="13">
        <v>11136</v>
      </c>
      <c r="E6">
        <v>14</v>
      </c>
      <c r="F6">
        <v>14</v>
      </c>
      <c r="G6">
        <v>14</v>
      </c>
      <c r="H6" t="s">
        <v>63</v>
      </c>
    </row>
    <row r="8" spans="1:8">
      <c r="A8" s="1" t="s">
        <v>64</v>
      </c>
      <c r="E8">
        <v>14</v>
      </c>
      <c r="F8">
        <v>14</v>
      </c>
      <c r="G8">
        <v>14</v>
      </c>
    </row>
    <row r="9" spans="1:8">
      <c r="A9" t="s">
        <v>65</v>
      </c>
      <c r="B9" s="12">
        <v>4772</v>
      </c>
      <c r="C9" s="12">
        <v>4108</v>
      </c>
      <c r="D9" s="12">
        <v>4832</v>
      </c>
      <c r="E9">
        <v>14</v>
      </c>
      <c r="F9">
        <v>14</v>
      </c>
      <c r="G9">
        <v>14</v>
      </c>
      <c r="H9" t="s">
        <v>66</v>
      </c>
    </row>
    <row r="10" spans="1:8">
      <c r="A10" t="s">
        <v>67</v>
      </c>
      <c r="B10" s="12">
        <v>6887</v>
      </c>
      <c r="C10" s="12">
        <v>3282</v>
      </c>
      <c r="D10" s="12">
        <v>3212</v>
      </c>
      <c r="E10">
        <v>14</v>
      </c>
      <c r="F10">
        <v>14</v>
      </c>
      <c r="G10">
        <v>14</v>
      </c>
      <c r="H10" t="s">
        <v>68</v>
      </c>
    </row>
    <row r="11" spans="1:8">
      <c r="A11" t="s">
        <v>69</v>
      </c>
      <c r="B11">
        <v>169</v>
      </c>
      <c r="C11" s="12">
        <v>4164</v>
      </c>
      <c r="D11" s="12">
        <v>2937</v>
      </c>
      <c r="E11">
        <v>14</v>
      </c>
      <c r="F11">
        <v>14</v>
      </c>
      <c r="G11">
        <v>14</v>
      </c>
      <c r="H11" t="s">
        <v>70</v>
      </c>
    </row>
    <row r="12" spans="1:8">
      <c r="A12" s="1" t="s">
        <v>71</v>
      </c>
      <c r="B12" s="13">
        <v>11828</v>
      </c>
      <c r="C12" s="13">
        <v>11554</v>
      </c>
      <c r="D12" s="13">
        <v>10981</v>
      </c>
      <c r="E12">
        <v>14</v>
      </c>
      <c r="F12">
        <v>14</v>
      </c>
      <c r="G12">
        <v>14</v>
      </c>
    </row>
    <row r="14" spans="1:8">
      <c r="A14" s="1" t="s">
        <v>72</v>
      </c>
      <c r="B14" s="13">
        <v>23001</v>
      </c>
      <c r="C14" s="13">
        <v>22472</v>
      </c>
      <c r="D14" s="13">
        <v>22117</v>
      </c>
      <c r="E14">
        <v>14</v>
      </c>
      <c r="F14">
        <v>14</v>
      </c>
      <c r="G14">
        <v>14</v>
      </c>
    </row>
    <row r="15" spans="1:8">
      <c r="E15">
        <v>14</v>
      </c>
      <c r="F15">
        <v>14</v>
      </c>
      <c r="G15">
        <v>14</v>
      </c>
    </row>
    <row r="16" spans="1:8">
      <c r="A16" t="s">
        <v>73</v>
      </c>
      <c r="B16" s="12">
        <v>17758</v>
      </c>
      <c r="C16" s="12">
        <v>19212</v>
      </c>
      <c r="D16" s="12">
        <v>18815</v>
      </c>
      <c r="E16">
        <v>14</v>
      </c>
      <c r="F16">
        <v>14</v>
      </c>
      <c r="G16">
        <v>14</v>
      </c>
      <c r="H16" t="s">
        <v>74</v>
      </c>
    </row>
    <row r="17" spans="1:8">
      <c r="A17" t="s">
        <v>75</v>
      </c>
      <c r="B17">
        <v>118</v>
      </c>
      <c r="C17">
        <v>94</v>
      </c>
      <c r="D17">
        <v>142</v>
      </c>
      <c r="E17">
        <v>14</v>
      </c>
      <c r="F17">
        <v>14</v>
      </c>
      <c r="G17">
        <v>14</v>
      </c>
      <c r="H17" t="s">
        <v>76</v>
      </c>
    </row>
    <row r="18" spans="1:8">
      <c r="A18" t="s">
        <v>77</v>
      </c>
      <c r="B18">
        <v>86</v>
      </c>
      <c r="C18">
        <v>84</v>
      </c>
      <c r="D18">
        <v>72</v>
      </c>
      <c r="E18">
        <v>14</v>
      </c>
      <c r="F18">
        <v>14</v>
      </c>
      <c r="G18">
        <v>14</v>
      </c>
      <c r="H18" t="s">
        <v>78</v>
      </c>
    </row>
    <row r="19" spans="1:8">
      <c r="A19" t="s">
        <v>79</v>
      </c>
      <c r="B19" s="12">
        <v>5039</v>
      </c>
      <c r="C19" s="12">
        <v>3082</v>
      </c>
      <c r="D19" s="12">
        <v>3088</v>
      </c>
      <c r="E19">
        <v>14</v>
      </c>
      <c r="F19">
        <v>14</v>
      </c>
      <c r="G19">
        <v>14</v>
      </c>
      <c r="H19" t="s">
        <v>80</v>
      </c>
    </row>
    <row r="20" spans="1:8">
      <c r="A20" s="1" t="s">
        <v>81</v>
      </c>
      <c r="B20" s="13">
        <v>23001</v>
      </c>
      <c r="C20" s="13">
        <v>22472</v>
      </c>
      <c r="D20" s="13">
        <v>22117</v>
      </c>
      <c r="E20">
        <v>14</v>
      </c>
      <c r="F20">
        <v>14</v>
      </c>
      <c r="G20">
        <v>14</v>
      </c>
      <c r="H20" t="s">
        <v>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7F5A-BC83-4830-8BF0-039FB817C432}">
  <dimension ref="A1:I33"/>
  <sheetViews>
    <sheetView topLeftCell="A14" workbookViewId="0">
      <selection activeCell="I1" sqref="A1:I1"/>
    </sheetView>
  </sheetViews>
  <sheetFormatPr defaultRowHeight="15"/>
  <cols>
    <col min="1" max="1" width="37.28515625" bestFit="1" customWidth="1"/>
    <col min="5" max="7" width="12.42578125" bestFit="1" customWidth="1"/>
    <col min="8" max="8" width="15.7109375" bestFit="1" customWidth="1"/>
  </cols>
  <sheetData>
    <row r="1" spans="1:9">
      <c r="A1" s="26" t="s">
        <v>26</v>
      </c>
      <c r="B1" s="27" t="s">
        <v>19</v>
      </c>
      <c r="C1" s="27" t="s">
        <v>23</v>
      </c>
      <c r="D1" s="27" t="s">
        <v>25</v>
      </c>
      <c r="E1" s="27" t="s">
        <v>27</v>
      </c>
      <c r="F1" s="27" t="s">
        <v>28</v>
      </c>
      <c r="G1" s="27" t="s">
        <v>29</v>
      </c>
      <c r="H1" s="28" t="s">
        <v>30</v>
      </c>
      <c r="I1" s="29"/>
    </row>
    <row r="2" spans="1:9">
      <c r="A2" s="1" t="s">
        <v>82</v>
      </c>
      <c r="B2" s="13">
        <v>2246</v>
      </c>
      <c r="C2" s="13">
        <v>2339</v>
      </c>
      <c r="D2" s="13">
        <v>1725</v>
      </c>
      <c r="E2">
        <v>16</v>
      </c>
      <c r="F2">
        <v>16</v>
      </c>
      <c r="G2">
        <v>16</v>
      </c>
      <c r="H2" t="s">
        <v>63</v>
      </c>
    </row>
    <row r="3" spans="1:9">
      <c r="A3" t="s">
        <v>83</v>
      </c>
      <c r="B3">
        <v>460</v>
      </c>
      <c r="C3">
        <v>462</v>
      </c>
      <c r="D3">
        <v>510</v>
      </c>
      <c r="E3">
        <v>16</v>
      </c>
      <c r="F3">
        <v>16</v>
      </c>
      <c r="G3">
        <v>16</v>
      </c>
      <c r="H3" t="s">
        <v>84</v>
      </c>
    </row>
    <row r="4" spans="1:9">
      <c r="A4" t="s">
        <v>85</v>
      </c>
      <c r="B4">
        <v>0</v>
      </c>
      <c r="C4">
        <v>27</v>
      </c>
      <c r="D4">
        <v>-2</v>
      </c>
      <c r="E4">
        <v>16</v>
      </c>
      <c r="F4">
        <v>16</v>
      </c>
      <c r="G4">
        <v>16</v>
      </c>
      <c r="H4" t="s">
        <v>84</v>
      </c>
    </row>
    <row r="5" spans="1:9">
      <c r="A5" t="s">
        <v>86</v>
      </c>
      <c r="B5">
        <v>64</v>
      </c>
      <c r="C5">
        <v>-27</v>
      </c>
      <c r="D5">
        <v>15</v>
      </c>
      <c r="E5">
        <v>16</v>
      </c>
      <c r="F5">
        <v>16</v>
      </c>
      <c r="G5">
        <v>16</v>
      </c>
      <c r="H5" t="s">
        <v>84</v>
      </c>
    </row>
    <row r="6" spans="1:9">
      <c r="A6" t="s">
        <v>87</v>
      </c>
      <c r="B6">
        <v>-6</v>
      </c>
      <c r="C6">
        <v>-24</v>
      </c>
      <c r="D6">
        <v>48</v>
      </c>
      <c r="E6">
        <v>16</v>
      </c>
      <c r="F6">
        <v>16</v>
      </c>
      <c r="G6">
        <v>16</v>
      </c>
      <c r="H6" t="s">
        <v>76</v>
      </c>
    </row>
    <row r="7" spans="1:9">
      <c r="A7" t="s">
        <v>88</v>
      </c>
      <c r="B7">
        <v>-3</v>
      </c>
      <c r="C7">
        <v>0</v>
      </c>
      <c r="D7">
        <v>0</v>
      </c>
      <c r="E7">
        <v>16</v>
      </c>
      <c r="F7">
        <v>16</v>
      </c>
      <c r="G7">
        <v>16</v>
      </c>
      <c r="H7" t="s">
        <v>61</v>
      </c>
    </row>
    <row r="8" spans="1:9">
      <c r="A8" t="s">
        <v>89</v>
      </c>
      <c r="B8" s="12">
        <v>1243</v>
      </c>
      <c r="C8" s="12">
        <v>1715</v>
      </c>
      <c r="D8">
        <v>-788</v>
      </c>
      <c r="E8">
        <v>16</v>
      </c>
      <c r="F8">
        <v>16</v>
      </c>
      <c r="G8">
        <v>16</v>
      </c>
      <c r="H8" t="s">
        <v>90</v>
      </c>
    </row>
    <row r="9" spans="1:9">
      <c r="A9" s="1" t="s">
        <v>91</v>
      </c>
      <c r="B9" s="13">
        <v>4004</v>
      </c>
      <c r="C9" s="13">
        <v>4492</v>
      </c>
      <c r="D9" s="13">
        <v>1508</v>
      </c>
      <c r="E9">
        <v>16</v>
      </c>
      <c r="F9">
        <v>16</v>
      </c>
      <c r="G9">
        <v>16</v>
      </c>
      <c r="H9" t="s">
        <v>63</v>
      </c>
    </row>
    <row r="10" spans="1:9">
      <c r="A10" t="s">
        <v>92</v>
      </c>
      <c r="B10">
        <v>93</v>
      </c>
      <c r="C10">
        <v>179</v>
      </c>
      <c r="D10">
        <v>110</v>
      </c>
      <c r="E10">
        <v>16</v>
      </c>
      <c r="F10">
        <v>16</v>
      </c>
      <c r="G10">
        <v>16</v>
      </c>
      <c r="H10" t="s">
        <v>93</v>
      </c>
    </row>
    <row r="11" spans="1:9">
      <c r="A11" t="s">
        <v>94</v>
      </c>
      <c r="B11">
        <v>-507</v>
      </c>
      <c r="C11">
        <v>-50</v>
      </c>
      <c r="D11">
        <v>-9</v>
      </c>
      <c r="E11">
        <v>16</v>
      </c>
      <c r="F11">
        <v>16</v>
      </c>
      <c r="G11">
        <v>16</v>
      </c>
      <c r="H11" t="s">
        <v>95</v>
      </c>
    </row>
    <row r="12" spans="1:9">
      <c r="A12" t="s">
        <v>96</v>
      </c>
      <c r="B12">
        <v>-299</v>
      </c>
      <c r="C12">
        <v>-320</v>
      </c>
      <c r="D12">
        <v>-362</v>
      </c>
      <c r="E12">
        <v>16</v>
      </c>
      <c r="F12">
        <v>16</v>
      </c>
      <c r="G12">
        <v>16</v>
      </c>
      <c r="H12" t="s">
        <v>97</v>
      </c>
    </row>
    <row r="13" spans="1:9">
      <c r="A13" s="1" t="s">
        <v>98</v>
      </c>
      <c r="B13" s="13">
        <v>3291</v>
      </c>
      <c r="C13" s="13">
        <v>4301</v>
      </c>
      <c r="D13" s="13">
        <v>1247</v>
      </c>
      <c r="E13">
        <v>16</v>
      </c>
      <c r="F13">
        <v>16</v>
      </c>
      <c r="G13">
        <v>16</v>
      </c>
      <c r="H13" t="s">
        <v>63</v>
      </c>
    </row>
    <row r="14" spans="1:9">
      <c r="A14" s="1" t="s">
        <v>99</v>
      </c>
    </row>
    <row r="15" spans="1:9">
      <c r="A15" t="s">
        <v>56</v>
      </c>
      <c r="B15">
        <v>0</v>
      </c>
      <c r="C15">
        <v>-2</v>
      </c>
      <c r="D15">
        <v>-295</v>
      </c>
      <c r="E15">
        <v>16</v>
      </c>
      <c r="F15">
        <v>16</v>
      </c>
      <c r="G15">
        <v>16</v>
      </c>
      <c r="H15" t="s">
        <v>57</v>
      </c>
    </row>
    <row r="16" spans="1:9">
      <c r="A16" t="s">
        <v>58</v>
      </c>
      <c r="B16">
        <v>-347</v>
      </c>
      <c r="C16">
        <v>-245</v>
      </c>
      <c r="D16">
        <v>-382</v>
      </c>
      <c r="E16">
        <v>16</v>
      </c>
      <c r="F16">
        <v>16</v>
      </c>
      <c r="G16">
        <v>16</v>
      </c>
      <c r="H16" t="s">
        <v>59</v>
      </c>
    </row>
    <row r="17" spans="1:8">
      <c r="A17" t="s">
        <v>100</v>
      </c>
      <c r="B17">
        <v>0</v>
      </c>
      <c r="C17">
        <v>-16</v>
      </c>
      <c r="D17">
        <v>-27</v>
      </c>
      <c r="E17">
        <v>16</v>
      </c>
      <c r="F17">
        <v>16</v>
      </c>
      <c r="G17">
        <v>16</v>
      </c>
      <c r="H17" t="s">
        <v>61</v>
      </c>
    </row>
    <row r="18" spans="1:8">
      <c r="A18" s="1" t="s">
        <v>101</v>
      </c>
    </row>
    <row r="19" spans="1:8">
      <c r="A19" t="s">
        <v>58</v>
      </c>
      <c r="B19">
        <v>7</v>
      </c>
      <c r="C19">
        <v>19</v>
      </c>
      <c r="D19">
        <v>11</v>
      </c>
      <c r="E19">
        <v>16</v>
      </c>
      <c r="F19">
        <v>16</v>
      </c>
      <c r="G19">
        <v>16</v>
      </c>
      <c r="H19" t="s">
        <v>59</v>
      </c>
    </row>
    <row r="20" spans="1:8">
      <c r="A20" t="s">
        <v>102</v>
      </c>
      <c r="B20">
        <v>0</v>
      </c>
      <c r="C20">
        <v>-20</v>
      </c>
      <c r="D20">
        <v>-41</v>
      </c>
      <c r="E20">
        <v>16</v>
      </c>
      <c r="F20">
        <v>16</v>
      </c>
      <c r="G20">
        <v>16</v>
      </c>
      <c r="H20" t="s">
        <v>61</v>
      </c>
    </row>
    <row r="21" spans="1:8">
      <c r="A21" t="s">
        <v>103</v>
      </c>
      <c r="B21">
        <v>-52</v>
      </c>
      <c r="C21">
        <v>8</v>
      </c>
      <c r="D21">
        <v>77</v>
      </c>
      <c r="E21">
        <v>16</v>
      </c>
      <c r="F21">
        <v>16</v>
      </c>
      <c r="G21">
        <v>16</v>
      </c>
      <c r="H21" t="s">
        <v>61</v>
      </c>
    </row>
    <row r="22" spans="1:8">
      <c r="A22" s="1" t="s">
        <v>104</v>
      </c>
      <c r="B22" s="1">
        <v>-392</v>
      </c>
      <c r="C22" s="1">
        <v>-256</v>
      </c>
      <c r="D22" s="1">
        <v>-657</v>
      </c>
      <c r="E22">
        <v>16</v>
      </c>
      <c r="F22">
        <v>16</v>
      </c>
      <c r="G22">
        <v>16</v>
      </c>
      <c r="H22" t="s">
        <v>63</v>
      </c>
    </row>
    <row r="23" spans="1:8">
      <c r="A23" t="s">
        <v>105</v>
      </c>
      <c r="B23">
        <v>-27</v>
      </c>
      <c r="C23">
        <v>-2</v>
      </c>
      <c r="D23">
        <v>-12</v>
      </c>
      <c r="E23">
        <v>16</v>
      </c>
      <c r="F23">
        <v>16</v>
      </c>
      <c r="G23">
        <v>16</v>
      </c>
      <c r="H23" t="s">
        <v>78</v>
      </c>
    </row>
    <row r="24" spans="1:8">
      <c r="A24" t="s">
        <v>106</v>
      </c>
      <c r="B24" s="12">
        <v>-3867</v>
      </c>
      <c r="C24">
        <v>952</v>
      </c>
      <c r="D24">
        <v>2</v>
      </c>
      <c r="E24">
        <v>16</v>
      </c>
      <c r="F24">
        <v>16</v>
      </c>
      <c r="G24">
        <v>16</v>
      </c>
      <c r="H24" t="s">
        <v>80</v>
      </c>
    </row>
    <row r="25" spans="1:8">
      <c r="A25" t="s">
        <v>107</v>
      </c>
      <c r="B25" s="12">
        <v>-1850</v>
      </c>
      <c r="C25" s="12">
        <v>-1000</v>
      </c>
      <c r="D25" s="12">
        <v>-1800</v>
      </c>
      <c r="E25">
        <v>16</v>
      </c>
      <c r="F25">
        <v>16</v>
      </c>
      <c r="G25">
        <v>16</v>
      </c>
      <c r="H25" t="s">
        <v>74</v>
      </c>
    </row>
    <row r="26" spans="1:8">
      <c r="A26" t="s">
        <v>108</v>
      </c>
      <c r="B26" s="12">
        <v>2846</v>
      </c>
      <c r="C26">
        <v>0</v>
      </c>
      <c r="D26">
        <v>0</v>
      </c>
      <c r="E26">
        <v>16</v>
      </c>
      <c r="F26">
        <v>16</v>
      </c>
      <c r="G26">
        <v>16</v>
      </c>
      <c r="H26" t="s">
        <v>74</v>
      </c>
    </row>
    <row r="27" spans="1:8">
      <c r="A27" s="1" t="s">
        <v>109</v>
      </c>
      <c r="B27" s="13">
        <v>-2898</v>
      </c>
      <c r="C27" s="1">
        <v>-50</v>
      </c>
      <c r="D27" s="13">
        <v>-1810</v>
      </c>
      <c r="E27">
        <v>16</v>
      </c>
      <c r="F27">
        <v>16</v>
      </c>
      <c r="G27">
        <v>16</v>
      </c>
      <c r="H27" t="s">
        <v>63</v>
      </c>
    </row>
    <row r="28" spans="1:8">
      <c r="A28" s="1" t="s">
        <v>110</v>
      </c>
      <c r="B28" s="1">
        <v>1</v>
      </c>
      <c r="C28" s="13">
        <v>3995</v>
      </c>
      <c r="D28" s="13">
        <v>-1220</v>
      </c>
      <c r="E28">
        <v>16</v>
      </c>
      <c r="F28">
        <v>16</v>
      </c>
      <c r="G28">
        <v>16</v>
      </c>
      <c r="H28" t="s">
        <v>63</v>
      </c>
    </row>
    <row r="29" spans="1:8">
      <c r="A29" t="s">
        <v>111</v>
      </c>
      <c r="B29">
        <v>-16</v>
      </c>
      <c r="C29">
        <v>0</v>
      </c>
      <c r="D29">
        <v>-7</v>
      </c>
      <c r="E29">
        <v>16</v>
      </c>
      <c r="F29">
        <v>16</v>
      </c>
      <c r="G29">
        <v>16</v>
      </c>
      <c r="H29" t="s">
        <v>112</v>
      </c>
    </row>
    <row r="30" spans="1:8">
      <c r="A30" s="1" t="s">
        <v>113</v>
      </c>
      <c r="B30" s="1">
        <v>-15</v>
      </c>
      <c r="C30" s="13">
        <v>3995</v>
      </c>
      <c r="D30" s="13">
        <v>-1227</v>
      </c>
      <c r="E30">
        <v>16</v>
      </c>
      <c r="F30">
        <v>16</v>
      </c>
      <c r="G30">
        <v>16</v>
      </c>
      <c r="H30" t="s">
        <v>63</v>
      </c>
    </row>
    <row r="31" spans="1:8">
      <c r="A31" t="s">
        <v>114</v>
      </c>
      <c r="B31">
        <v>184</v>
      </c>
      <c r="C31">
        <v>169</v>
      </c>
      <c r="D31" s="12">
        <v>4164</v>
      </c>
      <c r="E31">
        <v>16</v>
      </c>
      <c r="F31">
        <v>16</v>
      </c>
      <c r="G31">
        <v>16</v>
      </c>
      <c r="H31" t="s">
        <v>112</v>
      </c>
    </row>
    <row r="32" spans="1:8">
      <c r="A32" t="s">
        <v>115</v>
      </c>
      <c r="B32">
        <v>169</v>
      </c>
      <c r="C32" s="12">
        <v>4164</v>
      </c>
      <c r="D32" s="12">
        <v>2937</v>
      </c>
      <c r="E32">
        <v>16</v>
      </c>
      <c r="F32">
        <v>16</v>
      </c>
      <c r="G32">
        <v>16</v>
      </c>
      <c r="H32" t="s">
        <v>112</v>
      </c>
    </row>
    <row r="33" spans="1:8">
      <c r="A33" s="1" t="s">
        <v>116</v>
      </c>
      <c r="B33" s="1">
        <v>-15</v>
      </c>
      <c r="C33" s="13">
        <v>3995</v>
      </c>
      <c r="D33" s="13">
        <v>-1227</v>
      </c>
      <c r="E33">
        <v>16</v>
      </c>
      <c r="F33">
        <v>16</v>
      </c>
      <c r="G33">
        <v>16</v>
      </c>
      <c r="H33" t="s">
        <v>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E5B9A-DF43-49BA-AF98-5EFBA55E58B1}">
  <dimension ref="A1:I22"/>
  <sheetViews>
    <sheetView workbookViewId="0">
      <selection activeCell="D13" sqref="D13"/>
    </sheetView>
  </sheetViews>
  <sheetFormatPr defaultRowHeight="15"/>
  <cols>
    <col min="1" max="1" width="26.7109375" bestFit="1" customWidth="1"/>
    <col min="5" max="7" width="12.42578125" bestFit="1" customWidth="1"/>
    <col min="8" max="8" width="69.5703125" bestFit="1" customWidth="1"/>
  </cols>
  <sheetData>
    <row r="1" spans="1:9">
      <c r="A1" s="26" t="s">
        <v>26</v>
      </c>
      <c r="B1" s="27" t="s">
        <v>19</v>
      </c>
      <c r="C1" s="27" t="s">
        <v>23</v>
      </c>
      <c r="D1" s="27" t="s">
        <v>25</v>
      </c>
      <c r="E1" s="27" t="s">
        <v>27</v>
      </c>
      <c r="F1" s="27" t="s">
        <v>28</v>
      </c>
      <c r="G1" s="27" t="s">
        <v>29</v>
      </c>
      <c r="H1" s="28" t="s">
        <v>30</v>
      </c>
      <c r="I1" s="11"/>
    </row>
    <row r="2" spans="1:9">
      <c r="A2" s="10" t="s">
        <v>117</v>
      </c>
      <c r="B2" s="12">
        <f>'03_Raw_Income_Statement'!B5</f>
        <v>29063</v>
      </c>
      <c r="C2" s="12">
        <f>'03_Raw_Income_Statement'!C5</f>
        <v>26538</v>
      </c>
      <c r="D2" s="12">
        <f>'03_Raw_Income_Statement'!D5</f>
        <v>26306</v>
      </c>
      <c r="E2">
        <v>15</v>
      </c>
      <c r="F2">
        <v>15</v>
      </c>
      <c r="G2">
        <v>15</v>
      </c>
      <c r="H2" t="s">
        <v>35</v>
      </c>
    </row>
    <row r="3" spans="1:9">
      <c r="A3" s="10" t="s">
        <v>118</v>
      </c>
      <c r="B3" s="12">
        <f>'03_Raw_Income_Statement'!B6</f>
        <v>23824</v>
      </c>
      <c r="C3" s="12">
        <f>'03_Raw_Income_Statement'!C6</f>
        <v>21048</v>
      </c>
      <c r="D3" s="12">
        <f>'03_Raw_Income_Statement'!D6</f>
        <v>21328</v>
      </c>
      <c r="E3">
        <v>15</v>
      </c>
      <c r="F3">
        <v>15</v>
      </c>
      <c r="G3">
        <v>15</v>
      </c>
    </row>
    <row r="4" spans="1:9">
      <c r="A4" s="10" t="s">
        <v>119</v>
      </c>
      <c r="B4" s="12">
        <f>'03_Raw_Income_Statement'!B8+'03_Raw_Income_Statement'!B9+'03_Raw_Income_Statement'!B10</f>
        <v>1333</v>
      </c>
      <c r="C4" s="12">
        <f>'03_Raw_Income_Statement'!C8+'03_Raw_Income_Statement'!C9+'03_Raw_Income_Statement'!C10</f>
        <v>1310</v>
      </c>
      <c r="D4" s="12">
        <f>'03_Raw_Income_Statement'!D8+'03_Raw_Income_Statement'!D9+'03_Raw_Income_Statement'!D10</f>
        <v>1474</v>
      </c>
      <c r="E4">
        <v>15</v>
      </c>
      <c r="F4">
        <v>15</v>
      </c>
      <c r="G4">
        <v>15</v>
      </c>
      <c r="H4" t="s">
        <v>120</v>
      </c>
    </row>
    <row r="5" spans="1:9">
      <c r="A5" s="10" t="s">
        <v>121</v>
      </c>
      <c r="B5" s="12">
        <f>'03_Raw_Income_Statement'!B11</f>
        <v>460</v>
      </c>
      <c r="C5" s="12">
        <f>'03_Raw_Income_Statement'!C11</f>
        <v>462</v>
      </c>
      <c r="D5" s="12">
        <f>'03_Raw_Income_Statement'!D11</f>
        <v>510</v>
      </c>
      <c r="E5">
        <v>15</v>
      </c>
      <c r="F5">
        <v>15</v>
      </c>
      <c r="G5">
        <v>15</v>
      </c>
    </row>
    <row r="6" spans="1:9">
      <c r="A6" s="10" t="s">
        <v>122</v>
      </c>
      <c r="B6" s="12">
        <f>'03_Raw_Income_Statement'!B13+'03_Raw_Income_Statement'!B12+'03_Raw_Income_Statement'!B7</f>
        <v>1200</v>
      </c>
      <c r="C6" s="12">
        <f>'03_Raw_Income_Statement'!C13+'03_Raw_Income_Statement'!C12+'03_Raw_Income_Statement'!C7</f>
        <v>1379</v>
      </c>
      <c r="D6" s="12">
        <f>'03_Raw_Income_Statement'!D13+'03_Raw_Income_Statement'!D12+'03_Raw_Income_Statement'!D7</f>
        <v>1269</v>
      </c>
      <c r="E6">
        <v>15</v>
      </c>
      <c r="F6">
        <v>15</v>
      </c>
      <c r="G6">
        <v>15</v>
      </c>
    </row>
    <row r="7" spans="1:9">
      <c r="A7" s="10" t="s">
        <v>82</v>
      </c>
      <c r="B7" s="12">
        <f>B2-(B3+B4+B5+B6)</f>
        <v>2246</v>
      </c>
      <c r="C7" s="12">
        <f t="shared" ref="C7:D7" si="0">C2-(C3+C4+C5+C6)</f>
        <v>2339</v>
      </c>
      <c r="D7" s="12">
        <f t="shared" si="0"/>
        <v>1725</v>
      </c>
      <c r="E7">
        <v>15</v>
      </c>
      <c r="F7">
        <v>15</v>
      </c>
      <c r="G7">
        <v>15</v>
      </c>
    </row>
    <row r="8" spans="1:9">
      <c r="A8" s="10" t="s">
        <v>123</v>
      </c>
      <c r="B8" s="12">
        <f>'03_Raw_Income_Statement'!B16</f>
        <v>211</v>
      </c>
      <c r="C8" s="12">
        <f>'03_Raw_Income_Statement'!C16</f>
        <v>400</v>
      </c>
      <c r="D8" s="12">
        <f>'03_Raw_Income_Statement'!D16</f>
        <v>273</v>
      </c>
      <c r="E8">
        <v>15</v>
      </c>
      <c r="F8">
        <v>15</v>
      </c>
      <c r="G8">
        <v>15</v>
      </c>
      <c r="H8" t="s">
        <v>47</v>
      </c>
    </row>
    <row r="9" spans="1:9">
      <c r="A9" s="10" t="s">
        <v>124</v>
      </c>
      <c r="B9" s="12">
        <f>'03_Raw_Income_Statement'!B17</f>
        <v>511</v>
      </c>
      <c r="C9" s="12">
        <f>'03_Raw_Income_Statement'!C17</f>
        <v>74</v>
      </c>
      <c r="D9" s="12">
        <f>'03_Raw_Income_Statement'!D17</f>
        <v>46</v>
      </c>
      <c r="E9">
        <v>15</v>
      </c>
      <c r="F9">
        <v>15</v>
      </c>
      <c r="G9">
        <v>15</v>
      </c>
    </row>
    <row r="10" spans="1:9">
      <c r="A10" s="10" t="s">
        <v>125</v>
      </c>
      <c r="B10" s="12">
        <f>B7-B9+B8</f>
        <v>1946</v>
      </c>
      <c r="C10" s="12">
        <f t="shared" ref="C10:D10" si="1">C7-C9+C8</f>
        <v>2665</v>
      </c>
      <c r="D10" s="12">
        <f t="shared" si="1"/>
        <v>1952</v>
      </c>
      <c r="E10">
        <v>15</v>
      </c>
      <c r="F10">
        <v>15</v>
      </c>
      <c r="G10">
        <v>15</v>
      </c>
    </row>
    <row r="11" spans="1:9">
      <c r="A11" s="10" t="s">
        <v>126</v>
      </c>
      <c r="B11" s="12">
        <f>'03_Raw_Income_Statement'!B20</f>
        <v>307</v>
      </c>
      <c r="C11" s="12">
        <f>'03_Raw_Income_Statement'!C20</f>
        <v>466</v>
      </c>
      <c r="D11" s="12">
        <f>'03_Raw_Income_Statement'!D20</f>
        <v>415</v>
      </c>
      <c r="E11">
        <v>15</v>
      </c>
      <c r="F11">
        <v>15</v>
      </c>
      <c r="G11">
        <v>15</v>
      </c>
      <c r="H11" t="s">
        <v>52</v>
      </c>
    </row>
    <row r="12" spans="1:9">
      <c r="A12" s="10" t="s">
        <v>127</v>
      </c>
      <c r="B12" s="12">
        <f>B10-B11</f>
        <v>1639</v>
      </c>
      <c r="C12" s="12">
        <f t="shared" ref="C12:D12" si="2">C10-C11</f>
        <v>2199</v>
      </c>
      <c r="D12" s="12">
        <f>D10-D11+'03_Raw_Income_Statement'!D21</f>
        <v>1496</v>
      </c>
      <c r="E12">
        <v>15</v>
      </c>
      <c r="F12">
        <v>15</v>
      </c>
      <c r="G12">
        <v>15</v>
      </c>
      <c r="H12" t="s">
        <v>63</v>
      </c>
    </row>
    <row r="13" spans="1:9">
      <c r="A13" s="10"/>
      <c r="B13" s="12"/>
    </row>
    <row r="14" spans="1:9">
      <c r="A14" s="10"/>
      <c r="B14" s="12"/>
    </row>
    <row r="15" spans="1:9">
      <c r="A15" s="10"/>
      <c r="B15" s="12"/>
    </row>
    <row r="16" spans="1:9">
      <c r="A16" s="10"/>
      <c r="B16" s="12"/>
    </row>
    <row r="17" spans="1:2">
      <c r="A17" s="10"/>
      <c r="B17" s="12"/>
    </row>
    <row r="18" spans="1:2">
      <c r="A18" s="10"/>
      <c r="B18" s="12"/>
    </row>
    <row r="19" spans="1:2">
      <c r="A19" s="10"/>
      <c r="B19" s="12"/>
    </row>
    <row r="20" spans="1:2">
      <c r="A20" s="10"/>
      <c r="B20" s="12"/>
    </row>
    <row r="21" spans="1:2">
      <c r="A21" s="10"/>
      <c r="B21" s="12"/>
    </row>
    <row r="22" spans="1:2">
      <c r="A22" s="10"/>
      <c r="B22" s="1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9C76-F2F0-4AF8-9C69-968C1BE751B2}">
  <dimension ref="A1:H22"/>
  <sheetViews>
    <sheetView workbookViewId="0">
      <selection activeCell="L9" sqref="L9"/>
    </sheetView>
  </sheetViews>
  <sheetFormatPr defaultRowHeight="15"/>
  <cols>
    <col min="1" max="1" width="26.5703125" bestFit="1" customWidth="1"/>
    <col min="5" max="7" width="12.42578125" bestFit="1" customWidth="1"/>
    <col min="8" max="8" width="14.28515625" bestFit="1" customWidth="1"/>
  </cols>
  <sheetData>
    <row r="1" spans="1:8">
      <c r="A1" s="26" t="s">
        <v>26</v>
      </c>
      <c r="B1" s="27" t="s">
        <v>19</v>
      </c>
      <c r="C1" s="27" t="s">
        <v>23</v>
      </c>
      <c r="D1" s="27" t="s">
        <v>25</v>
      </c>
      <c r="E1" s="27" t="s">
        <v>27</v>
      </c>
      <c r="F1" s="27" t="s">
        <v>28</v>
      </c>
      <c r="G1" s="27" t="s">
        <v>29</v>
      </c>
      <c r="H1" s="28" t="s">
        <v>30</v>
      </c>
    </row>
    <row r="2" spans="1:8">
      <c r="A2" s="1" t="s">
        <v>128</v>
      </c>
    </row>
    <row r="3" spans="1:8">
      <c r="A3" t="s">
        <v>129</v>
      </c>
      <c r="B3" s="12">
        <v>9094</v>
      </c>
      <c r="C3" s="12">
        <v>8821</v>
      </c>
      <c r="D3" s="12">
        <v>8899</v>
      </c>
      <c r="E3">
        <v>14</v>
      </c>
      <c r="F3">
        <v>14</v>
      </c>
      <c r="G3">
        <v>14</v>
      </c>
      <c r="H3" t="s">
        <v>57</v>
      </c>
    </row>
    <row r="4" spans="1:8">
      <c r="A4" t="s">
        <v>130</v>
      </c>
      <c r="B4" s="12">
        <v>1742</v>
      </c>
      <c r="C4" s="12">
        <v>1794</v>
      </c>
      <c r="D4" s="12">
        <v>1952</v>
      </c>
      <c r="E4">
        <v>14</v>
      </c>
      <c r="F4">
        <v>14</v>
      </c>
      <c r="G4">
        <v>14</v>
      </c>
      <c r="H4" t="s">
        <v>59</v>
      </c>
    </row>
    <row r="5" spans="1:8">
      <c r="A5" t="s">
        <v>131</v>
      </c>
      <c r="B5">
        <v>337</v>
      </c>
      <c r="C5">
        <v>303</v>
      </c>
      <c r="D5">
        <v>285</v>
      </c>
      <c r="E5">
        <v>14</v>
      </c>
      <c r="F5">
        <v>14</v>
      </c>
      <c r="G5">
        <v>14</v>
      </c>
      <c r="H5" t="s">
        <v>61</v>
      </c>
    </row>
    <row r="6" spans="1:8">
      <c r="A6" s="1" t="s">
        <v>132</v>
      </c>
      <c r="B6" s="13">
        <f>SUM(B3:B5)</f>
        <v>11173</v>
      </c>
      <c r="C6" s="13">
        <f t="shared" ref="C6:D6" si="0">SUM(C3:C5)</f>
        <v>10918</v>
      </c>
      <c r="D6" s="13">
        <f t="shared" si="0"/>
        <v>11136</v>
      </c>
      <c r="E6">
        <v>14</v>
      </c>
      <c r="F6">
        <v>14</v>
      </c>
      <c r="G6">
        <v>14</v>
      </c>
      <c r="H6" t="s">
        <v>63</v>
      </c>
    </row>
    <row r="8" spans="1:8">
      <c r="A8" s="1" t="s">
        <v>64</v>
      </c>
    </row>
    <row r="9" spans="1:8">
      <c r="A9" t="s">
        <v>133</v>
      </c>
      <c r="B9" s="12">
        <v>4772</v>
      </c>
      <c r="C9" s="12">
        <v>4108</v>
      </c>
      <c r="D9" s="12">
        <v>4832</v>
      </c>
      <c r="E9">
        <v>14</v>
      </c>
      <c r="F9">
        <v>14</v>
      </c>
      <c r="G9">
        <v>14</v>
      </c>
      <c r="H9" t="s">
        <v>66</v>
      </c>
    </row>
    <row r="10" spans="1:8">
      <c r="A10" t="s">
        <v>134</v>
      </c>
      <c r="B10" s="12">
        <v>6887</v>
      </c>
      <c r="C10" s="12">
        <v>3282</v>
      </c>
      <c r="D10" s="12">
        <v>3212</v>
      </c>
      <c r="E10">
        <v>14</v>
      </c>
      <c r="F10">
        <v>14</v>
      </c>
      <c r="G10">
        <v>14</v>
      </c>
      <c r="H10" t="s">
        <v>68</v>
      </c>
    </row>
    <row r="11" spans="1:8">
      <c r="A11" t="s">
        <v>135</v>
      </c>
      <c r="B11">
        <v>169</v>
      </c>
      <c r="C11" s="12">
        <v>4164</v>
      </c>
      <c r="D11" s="12">
        <v>2937</v>
      </c>
      <c r="E11">
        <v>14</v>
      </c>
      <c r="F11">
        <v>14</v>
      </c>
      <c r="G11">
        <v>14</v>
      </c>
      <c r="H11" t="s">
        <v>70</v>
      </c>
    </row>
    <row r="12" spans="1:8">
      <c r="A12" s="1" t="s">
        <v>71</v>
      </c>
      <c r="B12" s="13">
        <f>SUM(B9:B11)</f>
        <v>11828</v>
      </c>
      <c r="C12" s="13">
        <f t="shared" ref="C12:D12" si="1">SUM(C9:C11)</f>
        <v>11554</v>
      </c>
      <c r="D12" s="13">
        <f t="shared" si="1"/>
        <v>10981</v>
      </c>
      <c r="E12">
        <v>14</v>
      </c>
      <c r="F12">
        <v>14</v>
      </c>
      <c r="G12">
        <v>14</v>
      </c>
      <c r="H12" t="s">
        <v>63</v>
      </c>
    </row>
    <row r="14" spans="1:8">
      <c r="A14" s="1" t="s">
        <v>72</v>
      </c>
      <c r="B14" s="13">
        <f>SUM(B6+B12)</f>
        <v>23001</v>
      </c>
      <c r="C14" s="13">
        <f t="shared" ref="C14:D14" si="2">SUM(C6+C12)</f>
        <v>22472</v>
      </c>
      <c r="D14" s="13">
        <f t="shared" si="2"/>
        <v>22117</v>
      </c>
      <c r="E14">
        <v>14</v>
      </c>
      <c r="F14">
        <v>14</v>
      </c>
      <c r="G14">
        <v>14</v>
      </c>
      <c r="H14" t="s">
        <v>63</v>
      </c>
    </row>
    <row r="16" spans="1:8">
      <c r="A16" s="1" t="s">
        <v>136</v>
      </c>
      <c r="E16">
        <v>14</v>
      </c>
      <c r="F16">
        <v>14</v>
      </c>
      <c r="G16">
        <v>14</v>
      </c>
    </row>
    <row r="17" spans="1:8">
      <c r="A17" t="s">
        <v>137</v>
      </c>
      <c r="B17" s="12">
        <v>17758</v>
      </c>
      <c r="C17" s="12">
        <v>19212</v>
      </c>
      <c r="D17" s="12">
        <v>18815</v>
      </c>
      <c r="E17">
        <v>14</v>
      </c>
      <c r="F17">
        <v>14</v>
      </c>
      <c r="G17">
        <v>14</v>
      </c>
      <c r="H17" t="s">
        <v>74</v>
      </c>
    </row>
    <row r="18" spans="1:8">
      <c r="A18" t="s">
        <v>75</v>
      </c>
      <c r="B18">
        <v>118</v>
      </c>
      <c r="C18">
        <v>94</v>
      </c>
      <c r="D18">
        <v>142</v>
      </c>
      <c r="E18">
        <v>14</v>
      </c>
      <c r="F18">
        <v>14</v>
      </c>
      <c r="G18">
        <v>14</v>
      </c>
      <c r="H18" t="s">
        <v>76</v>
      </c>
    </row>
    <row r="19" spans="1:8">
      <c r="A19" t="s">
        <v>77</v>
      </c>
      <c r="B19">
        <v>86</v>
      </c>
      <c r="C19">
        <v>84</v>
      </c>
      <c r="D19">
        <v>72</v>
      </c>
      <c r="E19">
        <v>14</v>
      </c>
      <c r="F19">
        <v>14</v>
      </c>
      <c r="G19">
        <v>14</v>
      </c>
      <c r="H19" t="s">
        <v>138</v>
      </c>
    </row>
    <row r="20" spans="1:8">
      <c r="A20" t="s">
        <v>79</v>
      </c>
      <c r="B20" s="12">
        <v>5039</v>
      </c>
      <c r="C20" s="12">
        <v>3082</v>
      </c>
      <c r="D20" s="12">
        <v>3088</v>
      </c>
      <c r="E20">
        <v>14</v>
      </c>
      <c r="F20">
        <v>14</v>
      </c>
      <c r="G20">
        <v>14</v>
      </c>
      <c r="H20" t="s">
        <v>78</v>
      </c>
    </row>
    <row r="21" spans="1:8">
      <c r="A21" s="1" t="s">
        <v>139</v>
      </c>
      <c r="B21" s="13">
        <f>B18+B19+B20</f>
        <v>5243</v>
      </c>
      <c r="C21" s="13">
        <f t="shared" ref="C21:D21" si="3">C18+C19+C20</f>
        <v>3260</v>
      </c>
      <c r="D21" s="13">
        <f t="shared" si="3"/>
        <v>3302</v>
      </c>
      <c r="E21">
        <v>14</v>
      </c>
      <c r="F21">
        <v>14</v>
      </c>
      <c r="G21">
        <v>14</v>
      </c>
      <c r="H21" t="s">
        <v>63</v>
      </c>
    </row>
    <row r="22" spans="1:8">
      <c r="A22" s="1" t="s">
        <v>140</v>
      </c>
      <c r="B22" s="13">
        <f>B17+B21</f>
        <v>23001</v>
      </c>
      <c r="C22" s="13">
        <f t="shared" ref="C22:D22" si="4">C17+C21</f>
        <v>22472</v>
      </c>
      <c r="D22" s="13">
        <f t="shared" si="4"/>
        <v>22117</v>
      </c>
      <c r="E22">
        <v>14</v>
      </c>
      <c r="F22">
        <v>14</v>
      </c>
      <c r="G22">
        <v>14</v>
      </c>
      <c r="H22" t="s">
        <v>63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7A2D-EA00-49E6-BFB3-E555177EA485}">
  <dimension ref="A1:D29"/>
  <sheetViews>
    <sheetView workbookViewId="0">
      <selection activeCell="F15" sqref="F15"/>
    </sheetView>
  </sheetViews>
  <sheetFormatPr defaultRowHeight="15"/>
  <cols>
    <col min="1" max="1" width="45.28515625" bestFit="1" customWidth="1"/>
    <col min="5" max="7" width="12.42578125" bestFit="1" customWidth="1"/>
  </cols>
  <sheetData>
    <row r="1" spans="1:4">
      <c r="A1" s="1" t="s">
        <v>26</v>
      </c>
      <c r="B1" s="1" t="s">
        <v>19</v>
      </c>
      <c r="C1" s="1" t="s">
        <v>23</v>
      </c>
      <c r="D1" s="1" t="s">
        <v>25</v>
      </c>
    </row>
    <row r="2" spans="1:4">
      <c r="A2" s="1" t="s">
        <v>141</v>
      </c>
    </row>
    <row r="3" spans="1:4">
      <c r="A3" t="s">
        <v>98</v>
      </c>
      <c r="B3" s="13">
        <v>3291</v>
      </c>
      <c r="C3" s="13">
        <v>4301</v>
      </c>
      <c r="D3" s="13">
        <v>1247</v>
      </c>
    </row>
    <row r="5" spans="1:4">
      <c r="A5" s="1" t="s">
        <v>142</v>
      </c>
    </row>
    <row r="6" spans="1:4">
      <c r="A6" t="s">
        <v>143</v>
      </c>
      <c r="B6" s="1">
        <f>'05_Raw_Cash_Flow'!B15+'05_Raw_Cash_Flow'!B16</f>
        <v>-347</v>
      </c>
      <c r="C6" s="1">
        <f>'05_Raw_Cash_Flow'!C15+'05_Raw_Cash_Flow'!C16</f>
        <v>-247</v>
      </c>
      <c r="D6" s="1">
        <f>'05_Raw_Cash_Flow'!D15+'05_Raw_Cash_Flow'!D16</f>
        <v>-677</v>
      </c>
    </row>
    <row r="7" spans="1:4">
      <c r="A7" t="s">
        <v>100</v>
      </c>
      <c r="B7">
        <v>0</v>
      </c>
      <c r="C7">
        <v>-16</v>
      </c>
      <c r="D7">
        <v>-27</v>
      </c>
    </row>
    <row r="8" spans="1:4">
      <c r="A8" t="s">
        <v>144</v>
      </c>
      <c r="B8">
        <v>7</v>
      </c>
      <c r="C8">
        <v>19</v>
      </c>
      <c r="D8">
        <v>11</v>
      </c>
    </row>
    <row r="9" spans="1:4">
      <c r="A9" t="s">
        <v>145</v>
      </c>
      <c r="B9">
        <f>'05_Raw_Cash_Flow'!B21+'05_Raw_Cash_Flow'!B20</f>
        <v>-52</v>
      </c>
      <c r="C9">
        <f>'05_Raw_Cash_Flow'!C21+'05_Raw_Cash_Flow'!C20</f>
        <v>-12</v>
      </c>
      <c r="D9">
        <f>'05_Raw_Cash_Flow'!D21+'05_Raw_Cash_Flow'!D20</f>
        <v>36</v>
      </c>
    </row>
    <row r="10" spans="1:4">
      <c r="A10" s="1" t="s">
        <v>104</v>
      </c>
      <c r="B10" s="1">
        <f>SUM(B6:B9)</f>
        <v>-392</v>
      </c>
      <c r="C10" s="1">
        <f t="shared" ref="C10:D10" si="0">SUM(C6:C9)</f>
        <v>-256</v>
      </c>
      <c r="D10" s="1">
        <f t="shared" si="0"/>
        <v>-657</v>
      </c>
    </row>
    <row r="12" spans="1:4">
      <c r="A12" s="1" t="s">
        <v>146</v>
      </c>
    </row>
    <row r="13" spans="1:4">
      <c r="A13" t="s">
        <v>147</v>
      </c>
      <c r="B13">
        <v>-27</v>
      </c>
      <c r="C13">
        <v>-2</v>
      </c>
      <c r="D13">
        <v>-12</v>
      </c>
    </row>
    <row r="14" spans="1:4">
      <c r="A14" t="s">
        <v>106</v>
      </c>
      <c r="B14" s="12">
        <v>-3867</v>
      </c>
      <c r="C14">
        <v>952</v>
      </c>
      <c r="D14">
        <v>2</v>
      </c>
    </row>
    <row r="15" spans="1:4">
      <c r="A15" t="s">
        <v>107</v>
      </c>
      <c r="B15" s="12">
        <v>-1850</v>
      </c>
      <c r="C15" s="12">
        <v>-1000</v>
      </c>
      <c r="D15" s="12">
        <v>-1800</v>
      </c>
    </row>
    <row r="16" spans="1:4">
      <c r="A16" t="s">
        <v>108</v>
      </c>
      <c r="B16" s="12">
        <v>2846</v>
      </c>
      <c r="C16">
        <v>0</v>
      </c>
      <c r="D16">
        <v>0</v>
      </c>
    </row>
    <row r="17" spans="1:4">
      <c r="A17" s="1" t="s">
        <v>109</v>
      </c>
      <c r="B17" s="13">
        <f>SUM(B13:B16)</f>
        <v>-2898</v>
      </c>
      <c r="C17" s="13">
        <f t="shared" ref="C17:D17" si="1">SUM(C13:C16)</f>
        <v>-50</v>
      </c>
      <c r="D17" s="13">
        <f t="shared" si="1"/>
        <v>-1810</v>
      </c>
    </row>
    <row r="19" spans="1:4">
      <c r="A19" s="1" t="s">
        <v>110</v>
      </c>
      <c r="B19" s="13">
        <f>B3+B10+B17</f>
        <v>1</v>
      </c>
      <c r="C19" s="13">
        <f t="shared" ref="C19:D19" si="2">C3+C10+C17</f>
        <v>3995</v>
      </c>
      <c r="D19" s="13">
        <f t="shared" si="2"/>
        <v>-1220</v>
      </c>
    </row>
    <row r="20" spans="1:4">
      <c r="A20" t="s">
        <v>148</v>
      </c>
      <c r="B20">
        <v>-16</v>
      </c>
      <c r="C20">
        <v>0</v>
      </c>
      <c r="D20">
        <v>-7</v>
      </c>
    </row>
    <row r="21" spans="1:4">
      <c r="A21" s="1" t="s">
        <v>149</v>
      </c>
      <c r="B21" s="13">
        <f>B19+B20</f>
        <v>-15</v>
      </c>
      <c r="C21" s="13">
        <f t="shared" ref="C21:D21" si="3">C19+C20</f>
        <v>3995</v>
      </c>
      <c r="D21" s="13">
        <f t="shared" si="3"/>
        <v>-1227</v>
      </c>
    </row>
    <row r="22" spans="1:4">
      <c r="A22" t="s">
        <v>114</v>
      </c>
      <c r="B22">
        <v>184</v>
      </c>
      <c r="C22">
        <v>169</v>
      </c>
      <c r="D22" s="12">
        <v>4164</v>
      </c>
    </row>
    <row r="23" spans="1:4">
      <c r="A23" t="s">
        <v>115</v>
      </c>
      <c r="B23" s="12">
        <f>B21+B22</f>
        <v>169</v>
      </c>
      <c r="C23" s="12">
        <f t="shared" ref="C23:D23" si="4">C21+C22</f>
        <v>4164</v>
      </c>
      <c r="D23" s="12">
        <f t="shared" si="4"/>
        <v>2937</v>
      </c>
    </row>
    <row r="24" spans="1:4">
      <c r="A24" s="1"/>
      <c r="B24" s="1"/>
      <c r="C24" s="1"/>
      <c r="D24" s="1"/>
    </row>
    <row r="25" spans="1:4">
      <c r="A25" s="1"/>
    </row>
    <row r="26" spans="1:4">
      <c r="B26" s="13"/>
      <c r="C26" s="13"/>
      <c r="D26" s="13"/>
    </row>
    <row r="28" spans="1:4">
      <c r="A28" s="1"/>
    </row>
    <row r="29" spans="1:4">
      <c r="B29" s="1"/>
      <c r="C29" s="1"/>
      <c r="D29"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881E-FBC1-46BC-9AF2-CCF7876CBEE4}">
  <dimension ref="A1:G15"/>
  <sheetViews>
    <sheetView workbookViewId="0">
      <selection activeCell="H24" sqref="H24"/>
    </sheetView>
  </sheetViews>
  <sheetFormatPr defaultRowHeight="15"/>
  <cols>
    <col min="1" max="1" width="20.85546875" bestFit="1" customWidth="1"/>
    <col min="2" max="2" width="48.7109375" bestFit="1" customWidth="1"/>
    <col min="3" max="5" width="13.7109375" bestFit="1" customWidth="1"/>
    <col min="6" max="6" width="36.7109375" bestFit="1" customWidth="1"/>
  </cols>
  <sheetData>
    <row r="1" spans="1:7">
      <c r="A1" s="30" t="s">
        <v>150</v>
      </c>
      <c r="B1" s="30" t="s">
        <v>151</v>
      </c>
      <c r="C1" s="30" t="s">
        <v>19</v>
      </c>
      <c r="D1" s="30" t="s">
        <v>23</v>
      </c>
      <c r="E1" s="30" t="s">
        <v>25</v>
      </c>
      <c r="F1" s="30" t="s">
        <v>152</v>
      </c>
      <c r="G1" s="11"/>
    </row>
    <row r="2" spans="1:7">
      <c r="A2" s="10" t="s">
        <v>153</v>
      </c>
      <c r="B2" t="s">
        <v>154</v>
      </c>
      <c r="C2" s="15">
        <f>(Table2[[#This Row],[FY23]]-'03_Raw_Income_Statement'!B6)/Table2[[#This Row],[FY23]]</f>
        <v>0.18155896801676458</v>
      </c>
      <c r="D2" s="15">
        <f>(Table2[[#This Row],[FY24]]-'03_Raw_Income_Statement'!C6)/Table2[[#This Row],[FY24]]</f>
        <v>0.20860279741314483</v>
      </c>
      <c r="E2" s="15">
        <f>(Table2[[#This Row],[FY25]]-'03_Raw_Income_Statement'!D6)/Table2[[#This Row],[FY25]]</f>
        <v>0.18542565786961004</v>
      </c>
      <c r="F2" s="15">
        <f>Table3[[#This Row],[FY25]]/Table3[[#This Row],[FY23]]-1</f>
        <v>2.1297157034338543E-2</v>
      </c>
    </row>
    <row r="3" spans="1:7">
      <c r="A3" s="10" t="s">
        <v>155</v>
      </c>
      <c r="B3" t="s">
        <v>156</v>
      </c>
      <c r="C3" s="15">
        <f>'06_Standardized_P&amp;L'!B7/'06_Standardized_P&amp;L'!B2</f>
        <v>7.7280390874995705E-2</v>
      </c>
      <c r="D3" s="15">
        <f>'06_Standardized_P&amp;L'!C7/'06_Standardized_P&amp;L'!C2</f>
        <v>8.8137764714748656E-2</v>
      </c>
      <c r="E3" s="15">
        <f>'06_Standardized_P&amp;L'!D7/'06_Standardized_P&amp;L'!D2</f>
        <v>6.5574393674446896E-2</v>
      </c>
      <c r="F3" s="15">
        <f>Table3[[#This Row],[FY25]]/Table3[[#This Row],[FY23]]-1</f>
        <v>-0.15147435291164291</v>
      </c>
    </row>
    <row r="4" spans="1:7">
      <c r="A4" s="10" t="s">
        <v>157</v>
      </c>
      <c r="B4" t="s">
        <v>158</v>
      </c>
      <c r="C4" s="15">
        <f>'06_Standardized_P&amp;L'!B12/'06_Standardized_P&amp;L'!B2</f>
        <v>5.6394728692839693E-2</v>
      </c>
      <c r="D4" s="15">
        <f>'06_Standardized_P&amp;L'!C12/'06_Standardized_P&amp;L'!C2</f>
        <v>8.2862310648880846E-2</v>
      </c>
      <c r="E4" s="15">
        <f>'06_Standardized_P&amp;L'!D12/'06_Standardized_P&amp;L'!D2</f>
        <v>5.6869155325781191E-2</v>
      </c>
      <c r="F4" s="15">
        <f>Table3[[#This Row],[FY25]]/Table3[[#This Row],[FY23]]-1</f>
        <v>8.41260599949889E-3</v>
      </c>
    </row>
    <row r="5" spans="1:7">
      <c r="A5" s="10" t="s">
        <v>159</v>
      </c>
      <c r="B5" t="s">
        <v>160</v>
      </c>
      <c r="C5" s="16">
        <f>' 07_Standardized_Balance_Sheet'!B12/' 07_Standardized_Balance_Sheet'!B20</f>
        <v>2.3472911291923002</v>
      </c>
      <c r="D5" s="16">
        <f>' 07_Standardized_Balance_Sheet'!C12/' 07_Standardized_Balance_Sheet'!C20</f>
        <v>3.7488643737832574</v>
      </c>
      <c r="E5" s="16">
        <f>' 07_Standardized_Balance_Sheet'!D12/' 07_Standardized_Balance_Sheet'!D20</f>
        <v>3.5560233160621761</v>
      </c>
      <c r="F5" s="15">
        <f>Table3[[#This Row],[FY25]]/Table3[[#This Row],[FY23]]-1</f>
        <v>0.51494770795039768</v>
      </c>
    </row>
    <row r="6" spans="1:7">
      <c r="A6" s="10" t="s">
        <v>161</v>
      </c>
      <c r="B6" t="s">
        <v>162</v>
      </c>
      <c r="C6" s="16">
        <f>(' 07_Standardized_Balance_Sheet'!B12-' 07_Standardized_Balance_Sheet'!B9)/' 07_Standardized_Balance_Sheet'!B20</f>
        <v>1.4002778329033538</v>
      </c>
      <c r="D6" s="16">
        <f>(' 07_Standardized_Balance_Sheet'!C12-' 07_Standardized_Balance_Sheet'!C9)/' 07_Standardized_Balance_Sheet'!C20</f>
        <v>2.4159636599610641</v>
      </c>
      <c r="E6" s="16">
        <f>(' 07_Standardized_Balance_Sheet'!D12-' 07_Standardized_Balance_Sheet'!D9)/' 07_Standardized_Balance_Sheet'!D20</f>
        <v>1.9912564766839378</v>
      </c>
      <c r="F6" s="15">
        <f>Table3[[#This Row],[FY25]]/Table3[[#This Row],[FY23]]-1</f>
        <v>0.42204384722369093</v>
      </c>
    </row>
    <row r="7" spans="1:7">
      <c r="A7" s="10" t="s">
        <v>163</v>
      </c>
      <c r="B7" t="s">
        <v>164</v>
      </c>
      <c r="C7" s="16">
        <f>' 07_Standardized_Balance_Sheet'!B21/' 07_Standardized_Balance_Sheet'!B17</f>
        <v>0.29524721252393288</v>
      </c>
      <c r="D7" s="16">
        <f>' 07_Standardized_Balance_Sheet'!C21/' 07_Standardized_Balance_Sheet'!C17</f>
        <v>0.16968561315844263</v>
      </c>
      <c r="E7" s="16">
        <f>' 07_Standardized_Balance_Sheet'!D21/' 07_Standardized_Balance_Sheet'!D17</f>
        <v>0.1754982726547967</v>
      </c>
      <c r="F7" s="15">
        <f>Table3[[#This Row],[FY25]]/Table3[[#This Row],[FY23]]-1</f>
        <v>-0.40558872290599279</v>
      </c>
    </row>
    <row r="8" spans="1:7">
      <c r="A8" s="10" t="s">
        <v>165</v>
      </c>
      <c r="B8" t="s">
        <v>166</v>
      </c>
      <c r="C8" s="16">
        <f>' 07_Standardized_Balance_Sheet'!B17/' 07_Standardized_Balance_Sheet'!B14</f>
        <v>0.77205338898308773</v>
      </c>
      <c r="D8" s="16">
        <f>' 07_Standardized_Balance_Sheet'!C17/' 07_Standardized_Balance_Sheet'!C14</f>
        <v>0.85493058027767888</v>
      </c>
      <c r="E8" s="16">
        <f>' 07_Standardized_Balance_Sheet'!D17/' 07_Standardized_Balance_Sheet'!D14</f>
        <v>0.8507030790794412</v>
      </c>
      <c r="F8" s="15">
        <f>Table3[[#This Row],[FY25]]/Table3[[#This Row],[FY23]]-1</f>
        <v>0.10187079186317294</v>
      </c>
    </row>
    <row r="9" spans="1:7">
      <c r="A9" s="10" t="s">
        <v>167</v>
      </c>
      <c r="B9" t="s">
        <v>168</v>
      </c>
      <c r="C9" s="15">
        <f>'06_Standardized_P&amp;L'!B12/' 07_Standardized_Balance_Sheet'!B14</f>
        <v>7.1257771401243425E-2</v>
      </c>
      <c r="D9" s="15">
        <f>'06_Standardized_P&amp;L'!C12/' 07_Standardized_Balance_Sheet'!C14</f>
        <v>9.7855108579565683E-2</v>
      </c>
      <c r="E9" s="15">
        <f>'06_Standardized_P&amp;L'!D12/' 07_Standardized_Balance_Sheet'!D14</f>
        <v>6.7640276710222907E-2</v>
      </c>
      <c r="F9" s="15">
        <f>Table3[[#This Row],[FY25]]/Table3[[#This Row],[FY23]]-1</f>
        <v>-5.0766318113583231E-2</v>
      </c>
    </row>
    <row r="10" spans="1:7">
      <c r="A10" s="10" t="s">
        <v>169</v>
      </c>
      <c r="B10" t="s">
        <v>170</v>
      </c>
      <c r="C10" s="15">
        <f>'06_Standardized_P&amp;L'!B12/' 07_Standardized_Balance_Sheet'!B17</f>
        <v>9.2296429778128172E-2</v>
      </c>
      <c r="D10" s="15">
        <f>'06_Standardized_P&amp;L'!C12/' 07_Standardized_Balance_Sheet'!C17</f>
        <v>0.11445971267957526</v>
      </c>
      <c r="E10" s="15">
        <f>'06_Standardized_P&amp;L'!D12/' 07_Standardized_Balance_Sheet'!D17</f>
        <v>7.9511028434759504E-2</v>
      </c>
      <c r="F10" s="15">
        <f>Table3[[#This Row],[FY25]]/Table3[[#This Row],[FY23]]-1</f>
        <v>-0.13852541614126956</v>
      </c>
    </row>
    <row r="11" spans="1:7">
      <c r="A11" s="10" t="s">
        <v>171</v>
      </c>
      <c r="B11" t="s">
        <v>172</v>
      </c>
      <c r="C11" s="16">
        <f>'06_Standardized_P&amp;L'!B2/' 07_Standardized_Balance_Sheet'!B14</f>
        <v>1.2635537585322378</v>
      </c>
      <c r="D11" s="16">
        <f>'06_Standardized_P&amp;L'!C2/' 07_Standardized_Balance_Sheet'!C14</f>
        <v>1.1809362762548949</v>
      </c>
      <c r="E11" s="16">
        <f>'06_Standardized_P&amp;L'!D2/' 07_Standardized_Balance_Sheet'!D14</f>
        <v>1.1894018176063661</v>
      </c>
      <c r="F11" s="15">
        <f>Table3[[#This Row],[FY25]]/Table3[[#This Row],[FY23]]-1</f>
        <v>-5.8685228408491108E-2</v>
      </c>
    </row>
    <row r="12" spans="1:7">
      <c r="A12" s="10" t="s">
        <v>173</v>
      </c>
      <c r="B12" t="s">
        <v>174</v>
      </c>
      <c r="C12" s="16">
        <f>('06_Standardized_P&amp;L'!B3*2)/((' 07_Standardized_Balance_Sheet'!B9+6294))</f>
        <v>4.3058015543105004</v>
      </c>
      <c r="D12" s="16">
        <f>('06_Standardized_P&amp;L'!C3*2)/((' 07_Standardized_Balance_Sheet'!C9+' 07_Standardized_Balance_Sheet'!B9))</f>
        <v>4.7405405405405405</v>
      </c>
      <c r="E12" s="16">
        <f>('06_Standardized_P&amp;L'!D3*2)/(' 07_Standardized_Balance_Sheet'!C9+' 07_Standardized_Balance_Sheet'!D9)</f>
        <v>4.7713646532438476</v>
      </c>
      <c r="F12" s="15">
        <f>Table3[[#This Row],[FY25]]/Table3[[#This Row],[FY23]]-1</f>
        <v>0.10812460654794376</v>
      </c>
    </row>
    <row r="13" spans="1:7">
      <c r="A13" t="s">
        <v>175</v>
      </c>
      <c r="B13" t="s">
        <v>176</v>
      </c>
      <c r="C13" s="16">
        <f>'08_Standardized_Cash_Flow'!B3/'06_Standardized_P&amp;L'!B12</f>
        <v>2.0079316656497865</v>
      </c>
      <c r="D13" s="16">
        <f>'08_Standardized_Cash_Flow'!C3/'06_Standardized_P&amp;L'!C12</f>
        <v>1.9558890404729423</v>
      </c>
      <c r="E13" s="16">
        <f>'08_Standardized_Cash_Flow'!D3/'06_Standardized_P&amp;L'!D12</f>
        <v>0.83355614973262027</v>
      </c>
      <c r="F13" s="15">
        <f>Table3[[#This Row],[FY25]]/Table3[[#This Row],[FY23]]-1</f>
        <v>-0.58486826818238691</v>
      </c>
    </row>
    <row r="15" spans="1:7">
      <c r="B15" t="s">
        <v>177</v>
      </c>
      <c r="C15" s="14">
        <v>6294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72F6-4ADC-41D1-B7AA-174BB38505D3}">
  <dimension ref="A1:H31"/>
  <sheetViews>
    <sheetView workbookViewId="0">
      <selection activeCell="D13" sqref="D13"/>
    </sheetView>
  </sheetViews>
  <sheetFormatPr defaultRowHeight="15"/>
  <cols>
    <col min="1" max="1" width="15.28515625" bestFit="1" customWidth="1"/>
    <col min="2" max="2" width="16.7109375" bestFit="1" customWidth="1"/>
    <col min="5" max="6" width="17.85546875" bestFit="1" customWidth="1"/>
    <col min="7" max="7" width="30" bestFit="1" customWidth="1"/>
    <col min="8" max="8" width="116.28515625" bestFit="1" customWidth="1"/>
  </cols>
  <sheetData>
    <row r="1" spans="1:8">
      <c r="A1" s="25" t="s">
        <v>178</v>
      </c>
      <c r="B1" s="25" t="s">
        <v>179</v>
      </c>
      <c r="C1" s="25" t="s">
        <v>19</v>
      </c>
      <c r="D1" s="25" t="s">
        <v>23</v>
      </c>
      <c r="E1" s="25" t="s">
        <v>25</v>
      </c>
      <c r="F1" s="25" t="s">
        <v>180</v>
      </c>
      <c r="G1" s="25" t="s">
        <v>181</v>
      </c>
      <c r="H1" s="30" t="s">
        <v>182</v>
      </c>
    </row>
    <row r="2" spans="1:8" ht="15.75">
      <c r="A2" s="23" t="s">
        <v>183</v>
      </c>
      <c r="B2" s="18"/>
      <c r="C2" s="18"/>
      <c r="D2" s="18"/>
      <c r="E2" s="18"/>
      <c r="F2" s="18"/>
      <c r="G2" s="17"/>
      <c r="H2" s="18"/>
    </row>
    <row r="3" spans="1:8">
      <c r="A3" t="s">
        <v>184</v>
      </c>
      <c r="B3" t="s">
        <v>185</v>
      </c>
      <c r="C3" s="12">
        <v>29109</v>
      </c>
      <c r="D3" s="12">
        <v>26596</v>
      </c>
      <c r="E3" s="12">
        <v>26183</v>
      </c>
      <c r="F3" s="15">
        <v>-0.10050000000000001</v>
      </c>
      <c r="G3" t="s">
        <v>186</v>
      </c>
      <c r="H3" s="10" t="s">
        <v>187</v>
      </c>
    </row>
    <row r="4" spans="1:8">
      <c r="A4" t="s">
        <v>188</v>
      </c>
      <c r="B4" t="s">
        <v>82</v>
      </c>
      <c r="C4" s="12">
        <v>2246</v>
      </c>
      <c r="D4" s="12">
        <v>2339</v>
      </c>
      <c r="E4" s="12">
        <v>1725</v>
      </c>
      <c r="F4" s="15">
        <v>-0.23200000000000001</v>
      </c>
      <c r="G4" t="s">
        <v>189</v>
      </c>
      <c r="H4" s="10" t="s">
        <v>190</v>
      </c>
    </row>
    <row r="5" spans="1:8">
      <c r="A5" t="s">
        <v>188</v>
      </c>
      <c r="B5" t="s">
        <v>127</v>
      </c>
      <c r="C5" s="12">
        <v>1639</v>
      </c>
      <c r="D5" s="12">
        <v>2199</v>
      </c>
      <c r="E5" s="12">
        <v>1496</v>
      </c>
      <c r="F5" s="15">
        <v>-8.72E-2</v>
      </c>
      <c r="G5" t="s">
        <v>189</v>
      </c>
      <c r="H5" s="10" t="s">
        <v>191</v>
      </c>
    </row>
    <row r="6" spans="1:8">
      <c r="A6" t="s">
        <v>188</v>
      </c>
      <c r="B6" t="s">
        <v>153</v>
      </c>
      <c r="C6" s="15">
        <v>0.18160000000000001</v>
      </c>
      <c r="D6" s="15">
        <v>0.20860000000000001</v>
      </c>
      <c r="E6" s="15">
        <v>0.18540000000000001</v>
      </c>
      <c r="F6" s="15">
        <v>2.1299999999999999E-2</v>
      </c>
      <c r="G6" t="s">
        <v>192</v>
      </c>
      <c r="H6" s="10" t="s">
        <v>193</v>
      </c>
    </row>
    <row r="7" spans="1:8">
      <c r="A7" t="s">
        <v>188</v>
      </c>
      <c r="B7" t="s">
        <v>155</v>
      </c>
      <c r="C7" s="15">
        <v>7.7299999999999994E-2</v>
      </c>
      <c r="D7" s="15">
        <v>8.8099999999999998E-2</v>
      </c>
      <c r="E7" s="15">
        <v>6.5600000000000006E-2</v>
      </c>
      <c r="F7" s="15">
        <v>-0.1515</v>
      </c>
      <c r="G7" t="s">
        <v>189</v>
      </c>
      <c r="H7" s="10" t="s">
        <v>194</v>
      </c>
    </row>
    <row r="8" spans="1:8">
      <c r="A8" t="s">
        <v>188</v>
      </c>
      <c r="B8" t="s">
        <v>157</v>
      </c>
      <c r="C8" s="15">
        <v>5.6399999999999999E-2</v>
      </c>
      <c r="D8" s="15">
        <v>8.2900000000000001E-2</v>
      </c>
      <c r="E8" s="15">
        <v>5.6899999999999999E-2</v>
      </c>
      <c r="F8" s="15">
        <v>8.41260599949889E-3</v>
      </c>
      <c r="G8" t="s">
        <v>195</v>
      </c>
      <c r="H8" s="10" t="s">
        <v>196</v>
      </c>
    </row>
    <row r="9" spans="1:8">
      <c r="A9" t="s">
        <v>188</v>
      </c>
      <c r="B9" t="s">
        <v>167</v>
      </c>
      <c r="C9" s="15">
        <v>7.1300000000000002E-2</v>
      </c>
      <c r="D9" s="15">
        <v>9.7900000000000001E-2</v>
      </c>
      <c r="E9" s="15">
        <v>6.7599999999999993E-2</v>
      </c>
      <c r="F9" s="15">
        <v>-5.0766318113583231E-2</v>
      </c>
      <c r="G9" t="s">
        <v>189</v>
      </c>
      <c r="H9" t="s">
        <v>197</v>
      </c>
    </row>
    <row r="10" spans="1:8">
      <c r="A10" t="s">
        <v>188</v>
      </c>
      <c r="B10" s="10" t="s">
        <v>169</v>
      </c>
      <c r="C10" s="20">
        <v>9.2296429778128172E-2</v>
      </c>
      <c r="D10" s="20">
        <v>0.11445971267957526</v>
      </c>
      <c r="E10" s="20">
        <v>7.9511028434759504E-2</v>
      </c>
      <c r="F10" s="20">
        <v>-0.13852541614126956</v>
      </c>
      <c r="G10" t="s">
        <v>189</v>
      </c>
      <c r="H10" t="s">
        <v>198</v>
      </c>
    </row>
    <row r="11" spans="1:8">
      <c r="A11" s="10"/>
      <c r="B11" s="10"/>
      <c r="C11" s="10"/>
      <c r="D11" s="10"/>
      <c r="E11" s="10"/>
      <c r="F11" s="10"/>
      <c r="H11" s="10"/>
    </row>
    <row r="12" spans="1:8" ht="15.75">
      <c r="A12" s="22" t="s">
        <v>199</v>
      </c>
      <c r="B12" s="10"/>
      <c r="C12" s="10"/>
      <c r="D12" s="10"/>
      <c r="E12" s="10"/>
      <c r="F12" s="10"/>
      <c r="H12" s="10"/>
    </row>
    <row r="13" spans="1:8">
      <c r="A13" s="10" t="s">
        <v>200</v>
      </c>
      <c r="B13" s="10" t="s">
        <v>159</v>
      </c>
      <c r="C13" s="10">
        <v>2.35</v>
      </c>
      <c r="D13" s="10">
        <v>3.75</v>
      </c>
      <c r="E13" s="10">
        <v>3.56</v>
      </c>
      <c r="F13" s="20">
        <v>0.51490000000000002</v>
      </c>
      <c r="G13" t="s">
        <v>201</v>
      </c>
      <c r="H13" s="10" t="s">
        <v>202</v>
      </c>
    </row>
    <row r="14" spans="1:8">
      <c r="A14" s="10" t="s">
        <v>200</v>
      </c>
      <c r="B14" s="10" t="s">
        <v>161</v>
      </c>
      <c r="C14" s="10">
        <v>1.4</v>
      </c>
      <c r="D14" s="10">
        <v>2.42</v>
      </c>
      <c r="E14" s="10">
        <v>1.99</v>
      </c>
      <c r="F14" s="20">
        <v>0.42199999999999999</v>
      </c>
      <c r="G14" t="s">
        <v>201</v>
      </c>
      <c r="H14" s="10" t="s">
        <v>203</v>
      </c>
    </row>
    <row r="15" spans="1:8">
      <c r="A15" s="10" t="s">
        <v>204</v>
      </c>
      <c r="B15" s="10" t="s">
        <v>205</v>
      </c>
      <c r="C15" s="10">
        <v>0.3</v>
      </c>
      <c r="D15" s="10">
        <v>0.17</v>
      </c>
      <c r="E15" s="10">
        <v>0.18</v>
      </c>
      <c r="F15" s="20">
        <v>-0.40560000000000002</v>
      </c>
      <c r="G15" t="s">
        <v>206</v>
      </c>
      <c r="H15" s="10" t="s">
        <v>207</v>
      </c>
    </row>
    <row r="16" spans="1:8">
      <c r="A16" s="10" t="s">
        <v>204</v>
      </c>
      <c r="B16" s="10" t="s">
        <v>165</v>
      </c>
      <c r="C16" s="20">
        <v>0.77210000000000001</v>
      </c>
      <c r="D16" s="20">
        <v>0.85489999999999999</v>
      </c>
      <c r="E16" s="20">
        <v>0.85070000000000001</v>
      </c>
      <c r="F16" s="20">
        <v>0.1019</v>
      </c>
      <c r="G16" t="s">
        <v>208</v>
      </c>
      <c r="H16" s="10" t="s">
        <v>209</v>
      </c>
    </row>
    <row r="17" spans="1:8">
      <c r="A17" s="10" t="s">
        <v>210</v>
      </c>
      <c r="B17" s="10" t="s">
        <v>171</v>
      </c>
      <c r="C17" s="10">
        <v>1.26</v>
      </c>
      <c r="D17" s="10">
        <v>1.18</v>
      </c>
      <c r="E17" s="10">
        <v>1.19</v>
      </c>
      <c r="F17" s="20">
        <v>-5.8700000000000002E-2</v>
      </c>
      <c r="G17" t="s">
        <v>211</v>
      </c>
      <c r="H17" s="10" t="s">
        <v>212</v>
      </c>
    </row>
    <row r="18" spans="1:8">
      <c r="A18" s="10" t="s">
        <v>210</v>
      </c>
      <c r="B18" s="10" t="s">
        <v>173</v>
      </c>
      <c r="C18" s="10">
        <v>4.3099999999999996</v>
      </c>
      <c r="D18" s="10">
        <v>4.74</v>
      </c>
      <c r="E18" s="10">
        <v>4.7699999999999996</v>
      </c>
      <c r="F18" s="20">
        <v>0.1081</v>
      </c>
      <c r="G18" t="s">
        <v>213</v>
      </c>
      <c r="H18" s="10" t="s">
        <v>214</v>
      </c>
    </row>
    <row r="19" spans="1:8" ht="15.75">
      <c r="A19" s="22"/>
      <c r="B19" s="22"/>
      <c r="C19" s="10"/>
      <c r="D19" s="10"/>
      <c r="E19" s="10"/>
      <c r="F19" s="10"/>
      <c r="H19" s="10"/>
    </row>
    <row r="20" spans="1:8" ht="15.75">
      <c r="A20" s="22" t="s">
        <v>215</v>
      </c>
      <c r="B20" s="22"/>
      <c r="C20" s="10"/>
      <c r="D20" s="10"/>
      <c r="E20" s="10"/>
      <c r="F20" s="10"/>
      <c r="H20" s="10"/>
    </row>
    <row r="21" spans="1:8">
      <c r="A21" s="10" t="s">
        <v>216</v>
      </c>
      <c r="B21" s="10" t="s">
        <v>217</v>
      </c>
      <c r="C21" s="24">
        <v>3291</v>
      </c>
      <c r="D21" s="24">
        <v>4301</v>
      </c>
      <c r="E21" s="24">
        <v>1247</v>
      </c>
      <c r="F21" s="20">
        <v>-0.62109999999999999</v>
      </c>
      <c r="G21" t="s">
        <v>218</v>
      </c>
      <c r="H21" s="10" t="s">
        <v>219</v>
      </c>
    </row>
    <row r="22" spans="1:8">
      <c r="A22" s="10" t="s">
        <v>216</v>
      </c>
      <c r="B22" s="10" t="s">
        <v>175</v>
      </c>
      <c r="C22" s="10">
        <v>2.0099999999999998</v>
      </c>
      <c r="D22" s="10">
        <v>1.96</v>
      </c>
      <c r="E22" s="10">
        <v>0.83</v>
      </c>
      <c r="F22" s="20">
        <v>-0.59589999999999999</v>
      </c>
      <c r="G22" t="s">
        <v>186</v>
      </c>
      <c r="H22" s="10" t="s">
        <v>220</v>
      </c>
    </row>
    <row r="23" spans="1:8">
      <c r="A23" s="10" t="s">
        <v>216</v>
      </c>
      <c r="B23" s="10" t="s">
        <v>221</v>
      </c>
      <c r="C23" s="10">
        <v>-392</v>
      </c>
      <c r="D23" s="10">
        <v>-256</v>
      </c>
      <c r="E23" s="10">
        <v>-657</v>
      </c>
      <c r="F23" s="10" t="s">
        <v>222</v>
      </c>
      <c r="G23" t="s">
        <v>223</v>
      </c>
      <c r="H23" s="10" t="s">
        <v>224</v>
      </c>
    </row>
    <row r="24" spans="1:8">
      <c r="A24" s="10" t="s">
        <v>216</v>
      </c>
      <c r="B24" s="10" t="s">
        <v>225</v>
      </c>
      <c r="C24" s="24">
        <v>-2898</v>
      </c>
      <c r="D24" s="10">
        <v>-50</v>
      </c>
      <c r="E24" s="24">
        <v>-1810</v>
      </c>
      <c r="F24" s="10" t="s">
        <v>226</v>
      </c>
      <c r="G24" t="s">
        <v>227</v>
      </c>
      <c r="H24" s="10" t="s">
        <v>228</v>
      </c>
    </row>
    <row r="25" spans="1:8">
      <c r="A25" s="10" t="s">
        <v>216</v>
      </c>
      <c r="B25" s="10" t="s">
        <v>229</v>
      </c>
      <c r="C25" s="10">
        <v>169</v>
      </c>
      <c r="D25" s="24">
        <v>4164</v>
      </c>
      <c r="E25" s="24">
        <v>2937</v>
      </c>
      <c r="F25" s="20">
        <v>16.378699999999998</v>
      </c>
      <c r="G25" t="s">
        <v>230</v>
      </c>
      <c r="H25" s="10" t="s">
        <v>231</v>
      </c>
    </row>
    <row r="26" spans="1:8">
      <c r="A26" s="10"/>
      <c r="B26" s="10"/>
      <c r="C26" s="10"/>
      <c r="D26" s="10"/>
      <c r="E26" s="10"/>
      <c r="F26" s="10"/>
      <c r="H26" s="10"/>
    </row>
    <row r="29" spans="1:8" ht="15.75">
      <c r="A29" s="21" t="s">
        <v>232</v>
      </c>
    </row>
    <row r="31" spans="1:8">
      <c r="A31" s="43" t="s">
        <v>233</v>
      </c>
      <c r="B31" s="43"/>
      <c r="C31" s="43"/>
      <c r="D31" s="43"/>
      <c r="E31" s="43"/>
      <c r="F31" s="43"/>
      <c r="G31" s="43"/>
      <c r="H31" s="43"/>
    </row>
  </sheetData>
  <mergeCells count="1">
    <mergeCell ref="A31:H3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1EDF-E23D-4F94-9992-DE7F08545148}">
  <dimension ref="A1:E59"/>
  <sheetViews>
    <sheetView workbookViewId="0">
      <selection activeCell="F14" sqref="F14"/>
    </sheetView>
  </sheetViews>
  <sheetFormatPr defaultRowHeight="15"/>
  <cols>
    <col min="1" max="1" width="32.7109375" bestFit="1" customWidth="1"/>
    <col min="2" max="2" width="17" bestFit="1" customWidth="1"/>
    <col min="3" max="3" width="21" bestFit="1" customWidth="1"/>
    <col min="4" max="4" width="19.140625" bestFit="1" customWidth="1"/>
    <col min="5" max="5" width="12.5703125" bestFit="1" customWidth="1"/>
  </cols>
  <sheetData>
    <row r="1" spans="1:5">
      <c r="A1" s="19" t="s">
        <v>234</v>
      </c>
    </row>
    <row r="3" spans="1:5">
      <c r="A3" s="1" t="s">
        <v>179</v>
      </c>
      <c r="B3" s="1" t="s">
        <v>19</v>
      </c>
      <c r="C3" s="1" t="s">
        <v>23</v>
      </c>
      <c r="D3" s="1" t="s">
        <v>25</v>
      </c>
      <c r="E3" s="1" t="s">
        <v>235</v>
      </c>
    </row>
    <row r="4" spans="1:5">
      <c r="A4" t="s">
        <v>236</v>
      </c>
      <c r="B4" s="12">
        <v>29109</v>
      </c>
      <c r="C4" s="12">
        <v>26596</v>
      </c>
      <c r="D4" s="12">
        <v>26183</v>
      </c>
      <c r="E4" s="15">
        <v>-0.10050000000000001</v>
      </c>
    </row>
    <row r="5" spans="1:5">
      <c r="A5" t="s">
        <v>237</v>
      </c>
      <c r="B5" s="12">
        <v>2246</v>
      </c>
      <c r="C5" s="12">
        <v>2339</v>
      </c>
      <c r="D5" s="12">
        <v>1725</v>
      </c>
      <c r="E5" s="15">
        <v>-0.23200000000000001</v>
      </c>
    </row>
    <row r="6" spans="1:5">
      <c r="A6" t="s">
        <v>238</v>
      </c>
      <c r="B6" s="12">
        <v>1639</v>
      </c>
      <c r="C6" s="12">
        <v>2199</v>
      </c>
      <c r="D6" s="12">
        <v>1496</v>
      </c>
      <c r="E6" s="15">
        <v>-8.72E-2</v>
      </c>
    </row>
    <row r="7" spans="1:5">
      <c r="A7" t="s">
        <v>159</v>
      </c>
      <c r="B7">
        <v>2.35</v>
      </c>
      <c r="C7">
        <v>3.75</v>
      </c>
      <c r="D7">
        <v>3.56</v>
      </c>
      <c r="E7" s="15">
        <v>0.51490000000000002</v>
      </c>
    </row>
    <row r="8" spans="1:5">
      <c r="A8" t="s">
        <v>169</v>
      </c>
      <c r="B8" s="15">
        <v>9.2299999999999993E-2</v>
      </c>
      <c r="C8" s="15">
        <v>0.1145</v>
      </c>
      <c r="D8" s="15">
        <v>7.9500000000000001E-2</v>
      </c>
      <c r="E8" s="15">
        <v>-0.13852541614126956</v>
      </c>
    </row>
    <row r="9" spans="1:5">
      <c r="A9" t="s">
        <v>239</v>
      </c>
      <c r="B9" s="12">
        <v>3291</v>
      </c>
      <c r="C9" s="12">
        <v>4301</v>
      </c>
      <c r="D9" s="12">
        <v>1247</v>
      </c>
      <c r="E9" s="15">
        <v>-0.62109999999999999</v>
      </c>
    </row>
    <row r="12" spans="1:5">
      <c r="A12" s="1" t="s">
        <v>240</v>
      </c>
    </row>
    <row r="14" spans="1:5">
      <c r="A14" s="1" t="s">
        <v>15</v>
      </c>
      <c r="B14" s="1" t="s">
        <v>241</v>
      </c>
      <c r="C14" s="1" t="s">
        <v>242</v>
      </c>
      <c r="D14" s="1" t="s">
        <v>127</v>
      </c>
    </row>
    <row r="15" spans="1:5">
      <c r="A15" t="s">
        <v>19</v>
      </c>
      <c r="B15" s="12">
        <v>29109</v>
      </c>
      <c r="C15" s="12">
        <v>2246</v>
      </c>
      <c r="D15" s="12">
        <v>1639</v>
      </c>
    </row>
    <row r="16" spans="1:5">
      <c r="A16" t="s">
        <v>23</v>
      </c>
      <c r="B16" s="12">
        <v>26596</v>
      </c>
      <c r="C16" s="12">
        <v>2339</v>
      </c>
      <c r="D16" s="12">
        <v>2199</v>
      </c>
    </row>
    <row r="17" spans="1:4">
      <c r="A17" t="s">
        <v>25</v>
      </c>
      <c r="B17" s="12">
        <v>26183</v>
      </c>
      <c r="C17" s="12">
        <v>1725</v>
      </c>
      <c r="D17" s="12">
        <v>1496</v>
      </c>
    </row>
    <row r="19" spans="1:4">
      <c r="A19" s="19" t="s">
        <v>243</v>
      </c>
    </row>
    <row r="21" spans="1:4">
      <c r="A21" s="1" t="s">
        <v>15</v>
      </c>
      <c r="B21" s="1" t="s">
        <v>153</v>
      </c>
      <c r="C21" s="1" t="s">
        <v>155</v>
      </c>
      <c r="D21" s="1" t="s">
        <v>157</v>
      </c>
    </row>
    <row r="22" spans="1:4">
      <c r="A22" t="s">
        <v>19</v>
      </c>
      <c r="B22" s="15">
        <v>0.18160000000000001</v>
      </c>
      <c r="C22" s="15">
        <v>7.7299999999999994E-2</v>
      </c>
      <c r="D22" s="15">
        <v>5.6399999999999999E-2</v>
      </c>
    </row>
    <row r="23" spans="1:4">
      <c r="A23" t="s">
        <v>23</v>
      </c>
      <c r="B23" s="15">
        <v>0.20860000000000001</v>
      </c>
      <c r="C23" s="15">
        <v>8.8099999999999998E-2</v>
      </c>
      <c r="D23" s="15">
        <v>8.2900000000000001E-2</v>
      </c>
    </row>
    <row r="24" spans="1:4">
      <c r="A24" t="s">
        <v>25</v>
      </c>
      <c r="B24" s="15">
        <v>0.18540000000000001</v>
      </c>
      <c r="C24" s="15">
        <v>6.5600000000000006E-2</v>
      </c>
      <c r="D24" s="15">
        <v>5.6899999999999999E-2</v>
      </c>
    </row>
    <row r="26" spans="1:4">
      <c r="A26" s="19" t="s">
        <v>244</v>
      </c>
    </row>
    <row r="28" spans="1:4">
      <c r="A28" s="1" t="s">
        <v>15</v>
      </c>
      <c r="B28" s="1" t="s">
        <v>159</v>
      </c>
      <c r="C28" s="1" t="s">
        <v>161</v>
      </c>
    </row>
    <row r="29" spans="1:4">
      <c r="A29" t="s">
        <v>19</v>
      </c>
      <c r="B29">
        <v>2.35</v>
      </c>
      <c r="C29">
        <v>1.4</v>
      </c>
    </row>
    <row r="30" spans="1:4">
      <c r="A30" t="s">
        <v>23</v>
      </c>
      <c r="B30">
        <v>3.75</v>
      </c>
      <c r="C30">
        <v>2.42</v>
      </c>
    </row>
    <row r="31" spans="1:4">
      <c r="A31" t="s">
        <v>25</v>
      </c>
      <c r="B31">
        <v>3.56</v>
      </c>
      <c r="C31">
        <v>1.99</v>
      </c>
    </row>
    <row r="33" spans="1:3">
      <c r="A33" s="19" t="s">
        <v>245</v>
      </c>
    </row>
    <row r="35" spans="1:3">
      <c r="A35" s="1" t="s">
        <v>15</v>
      </c>
      <c r="B35" s="1" t="s">
        <v>205</v>
      </c>
      <c r="C35" s="1" t="s">
        <v>165</v>
      </c>
    </row>
    <row r="36" spans="1:3">
      <c r="A36" t="s">
        <v>19</v>
      </c>
      <c r="B36">
        <v>0.3</v>
      </c>
      <c r="C36" s="15">
        <v>0.77210000000000001</v>
      </c>
    </row>
    <row r="37" spans="1:3">
      <c r="A37" t="s">
        <v>23</v>
      </c>
      <c r="B37">
        <v>0.17</v>
      </c>
      <c r="C37" s="15">
        <v>0.85489999999999999</v>
      </c>
    </row>
    <row r="38" spans="1:3">
      <c r="A38" t="s">
        <v>25</v>
      </c>
      <c r="B38">
        <v>0.18</v>
      </c>
      <c r="C38" s="15">
        <v>0.85070000000000001</v>
      </c>
    </row>
    <row r="40" spans="1:3">
      <c r="A40" s="1" t="s">
        <v>246</v>
      </c>
    </row>
    <row r="42" spans="1:3">
      <c r="A42" s="1" t="s">
        <v>15</v>
      </c>
      <c r="B42" s="1" t="s">
        <v>171</v>
      </c>
      <c r="C42" s="1" t="s">
        <v>173</v>
      </c>
    </row>
    <row r="43" spans="1:3">
      <c r="A43" t="s">
        <v>19</v>
      </c>
      <c r="B43">
        <v>1.26</v>
      </c>
      <c r="C43">
        <v>4.3099999999999996</v>
      </c>
    </row>
    <row r="44" spans="1:3">
      <c r="A44" t="s">
        <v>23</v>
      </c>
      <c r="B44">
        <v>1.18</v>
      </c>
      <c r="C44">
        <v>4.74</v>
      </c>
    </row>
    <row r="45" spans="1:3">
      <c r="A45" t="s">
        <v>25</v>
      </c>
      <c r="B45">
        <v>1.19</v>
      </c>
      <c r="C45">
        <v>4.7699999999999996</v>
      </c>
    </row>
    <row r="47" spans="1:3">
      <c r="A47" s="1" t="s">
        <v>247</v>
      </c>
    </row>
    <row r="49" spans="1:4">
      <c r="A49" s="1" t="s">
        <v>15</v>
      </c>
      <c r="B49" s="1" t="s">
        <v>248</v>
      </c>
      <c r="C49" s="1" t="s">
        <v>249</v>
      </c>
      <c r="D49" s="1" t="s">
        <v>250</v>
      </c>
    </row>
    <row r="50" spans="1:4">
      <c r="A50" t="s">
        <v>19</v>
      </c>
      <c r="B50" s="12">
        <v>3291</v>
      </c>
      <c r="C50">
        <v>-392</v>
      </c>
      <c r="D50" s="12">
        <v>-2898</v>
      </c>
    </row>
    <row r="51" spans="1:4">
      <c r="A51" t="s">
        <v>23</v>
      </c>
      <c r="B51" s="12">
        <v>4301</v>
      </c>
      <c r="C51">
        <v>-256</v>
      </c>
      <c r="D51">
        <v>-50</v>
      </c>
    </row>
    <row r="52" spans="1:4">
      <c r="A52" t="s">
        <v>25</v>
      </c>
      <c r="B52" s="12">
        <v>1247</v>
      </c>
      <c r="C52">
        <v>-657</v>
      </c>
      <c r="D52" s="12">
        <v>-1810</v>
      </c>
    </row>
    <row r="54" spans="1:4">
      <c r="A54" s="19" t="s">
        <v>251</v>
      </c>
    </row>
    <row r="56" spans="1:4">
      <c r="A56" s="1" t="s">
        <v>15</v>
      </c>
      <c r="B56" s="1" t="s">
        <v>167</v>
      </c>
      <c r="C56" s="1" t="s">
        <v>169</v>
      </c>
    </row>
    <row r="57" spans="1:4">
      <c r="A57" t="s">
        <v>19</v>
      </c>
      <c r="B57" s="15">
        <v>7.1300000000000002E-2</v>
      </c>
      <c r="C57" s="15">
        <v>9.2299999999999993E-2</v>
      </c>
    </row>
    <row r="58" spans="1:4">
      <c r="A58" t="s">
        <v>23</v>
      </c>
      <c r="B58" s="15">
        <v>9.7900000000000001E-2</v>
      </c>
      <c r="C58" s="15">
        <v>0.1145</v>
      </c>
    </row>
    <row r="59" spans="1:4">
      <c r="A59" t="s">
        <v>25</v>
      </c>
      <c r="B59" s="15">
        <v>6.7599999999999993E-2</v>
      </c>
      <c r="C59" s="15">
        <v>7.9500000000000001E-2</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8739-1DAF-4EA0-9680-6FD7F7B756B8}">
  <dimension ref="A2:M79"/>
  <sheetViews>
    <sheetView showGridLines="0" showRowColHeaders="0" tabSelected="1" topLeftCell="A49" workbookViewId="0">
      <selection activeCell="O44" sqref="O44"/>
    </sheetView>
  </sheetViews>
  <sheetFormatPr defaultRowHeight="15"/>
  <cols>
    <col min="11" max="11" width="10.140625" customWidth="1"/>
    <col min="13" max="13" width="16.140625" customWidth="1"/>
  </cols>
  <sheetData>
    <row r="2" spans="1:13">
      <c r="B2" s="48" t="s">
        <v>252</v>
      </c>
      <c r="C2" s="49"/>
      <c r="D2" s="49"/>
      <c r="E2" s="49"/>
      <c r="F2" s="49"/>
      <c r="G2" s="49"/>
      <c r="H2" s="49"/>
      <c r="I2" s="49"/>
      <c r="J2" s="49"/>
      <c r="K2" s="49"/>
      <c r="L2" s="49"/>
      <c r="M2" s="49"/>
    </row>
    <row r="3" spans="1:13">
      <c r="B3" s="49"/>
      <c r="C3" s="49"/>
      <c r="D3" s="49"/>
      <c r="E3" s="49"/>
      <c r="F3" s="49"/>
      <c r="G3" s="49"/>
      <c r="H3" s="49"/>
      <c r="I3" s="49"/>
      <c r="J3" s="49"/>
      <c r="K3" s="49"/>
      <c r="L3" s="49"/>
      <c r="M3" s="49"/>
    </row>
    <row r="4" spans="1:13">
      <c r="B4" s="50" t="s">
        <v>253</v>
      </c>
      <c r="C4" s="51"/>
      <c r="D4" s="51"/>
      <c r="E4" s="51"/>
      <c r="F4" s="51"/>
      <c r="G4" s="51"/>
      <c r="H4" s="51"/>
      <c r="I4" s="51"/>
      <c r="J4" s="51"/>
      <c r="K4" s="51"/>
      <c r="L4" s="51"/>
      <c r="M4" s="51"/>
    </row>
    <row r="6" spans="1:13">
      <c r="A6" s="31"/>
      <c r="B6" s="41" t="s">
        <v>254</v>
      </c>
      <c r="C6" s="35"/>
      <c r="D6" s="34" t="s">
        <v>255</v>
      </c>
      <c r="E6" s="35"/>
      <c r="F6" s="34" t="s">
        <v>256</v>
      </c>
      <c r="G6" s="35"/>
      <c r="H6" s="34" t="s">
        <v>257</v>
      </c>
      <c r="I6" s="35"/>
      <c r="J6" s="34" t="s">
        <v>169</v>
      </c>
      <c r="K6" s="35"/>
      <c r="L6" s="34" t="s">
        <v>258</v>
      </c>
      <c r="M6" s="35"/>
    </row>
    <row r="7" spans="1:13">
      <c r="A7" s="32"/>
      <c r="B7" s="44" t="s">
        <v>259</v>
      </c>
      <c r="C7" s="45"/>
      <c r="D7" s="44" t="s">
        <v>260</v>
      </c>
      <c r="E7" s="45"/>
      <c r="F7" s="44" t="s">
        <v>261</v>
      </c>
      <c r="G7" s="45"/>
      <c r="H7" s="44" t="s">
        <v>262</v>
      </c>
      <c r="I7" s="45"/>
      <c r="J7" s="46">
        <v>7.9500000000000001E-2</v>
      </c>
      <c r="K7" s="47"/>
      <c r="L7" s="44" t="s">
        <v>263</v>
      </c>
      <c r="M7" s="45"/>
    </row>
    <row r="8" spans="1:13">
      <c r="A8" s="32"/>
      <c r="B8" s="44"/>
      <c r="C8" s="45"/>
      <c r="D8" s="44"/>
      <c r="E8" s="45"/>
      <c r="F8" s="44"/>
      <c r="G8" s="45"/>
      <c r="H8" s="44"/>
      <c r="I8" s="45"/>
      <c r="J8" s="46"/>
      <c r="K8" s="47"/>
      <c r="L8" s="44"/>
      <c r="M8" s="45"/>
    </row>
    <row r="9" spans="1:13">
      <c r="A9" s="32"/>
      <c r="B9" s="44"/>
      <c r="C9" s="45"/>
      <c r="D9" s="44"/>
      <c r="E9" s="45"/>
      <c r="F9" s="44"/>
      <c r="G9" s="45"/>
      <c r="H9" s="44"/>
      <c r="I9" s="45"/>
      <c r="J9" s="46"/>
      <c r="K9" s="47"/>
      <c r="L9" s="44"/>
      <c r="M9" s="45"/>
    </row>
    <row r="10" spans="1:13">
      <c r="A10" s="33"/>
      <c r="B10" s="36" t="s">
        <v>264</v>
      </c>
      <c r="C10" s="37"/>
      <c r="D10" s="38" t="s">
        <v>265</v>
      </c>
      <c r="E10" s="37"/>
      <c r="F10" s="38" t="s">
        <v>266</v>
      </c>
      <c r="G10" s="37"/>
      <c r="H10" s="39" t="s">
        <v>267</v>
      </c>
      <c r="I10" s="40"/>
      <c r="J10" s="38" t="s">
        <v>268</v>
      </c>
      <c r="K10" s="37"/>
      <c r="L10" s="38" t="s">
        <v>269</v>
      </c>
      <c r="M10" s="37"/>
    </row>
    <row r="67" spans="3:13">
      <c r="C67" s="54" t="s">
        <v>270</v>
      </c>
      <c r="D67" s="54"/>
      <c r="E67" s="54"/>
      <c r="F67" s="54"/>
      <c r="G67" s="54"/>
      <c r="H67" s="54"/>
      <c r="I67" s="54"/>
      <c r="J67" s="54"/>
      <c r="K67" s="54"/>
      <c r="L67" s="54"/>
      <c r="M67" s="54"/>
    </row>
    <row r="68" spans="3:13">
      <c r="C68" s="53" t="s">
        <v>271</v>
      </c>
      <c r="D68" s="53"/>
      <c r="E68" s="53"/>
      <c r="F68" s="53"/>
      <c r="G68" s="53"/>
      <c r="H68" s="53"/>
      <c r="I68" s="53"/>
      <c r="J68" s="53"/>
      <c r="K68" s="53"/>
      <c r="L68" s="53"/>
      <c r="M68" s="53"/>
    </row>
    <row r="69" spans="3:13">
      <c r="C69" s="52" t="s">
        <v>272</v>
      </c>
      <c r="D69" s="52"/>
      <c r="E69" s="52"/>
      <c r="F69" s="52"/>
      <c r="G69" s="52"/>
      <c r="H69" s="52"/>
      <c r="I69" s="52"/>
      <c r="J69" s="52"/>
      <c r="K69" s="52"/>
      <c r="L69" s="52"/>
      <c r="M69" s="52"/>
    </row>
    <row r="70" spans="3:13">
      <c r="C70" s="53" t="s">
        <v>273</v>
      </c>
      <c r="D70" s="53"/>
      <c r="E70" s="53"/>
      <c r="F70" s="53"/>
      <c r="G70" s="53"/>
      <c r="H70" s="53"/>
      <c r="I70" s="53"/>
      <c r="J70" s="53"/>
      <c r="K70" s="53"/>
      <c r="L70" s="53"/>
      <c r="M70" s="53"/>
    </row>
    <row r="71" spans="3:13">
      <c r="C71" s="52" t="s">
        <v>274</v>
      </c>
      <c r="D71" s="52"/>
      <c r="E71" s="52"/>
      <c r="F71" s="52"/>
      <c r="G71" s="52"/>
      <c r="H71" s="52"/>
      <c r="I71" s="52"/>
      <c r="J71" s="52"/>
      <c r="K71" s="52"/>
      <c r="L71" s="52"/>
      <c r="M71" s="52"/>
    </row>
    <row r="72" spans="3:13">
      <c r="C72" s="53" t="s">
        <v>275</v>
      </c>
      <c r="D72" s="53"/>
      <c r="E72" s="53"/>
      <c r="F72" s="53"/>
      <c r="G72" s="53"/>
      <c r="H72" s="53"/>
      <c r="I72" s="53"/>
      <c r="J72" s="53"/>
      <c r="K72" s="53"/>
      <c r="L72" s="53"/>
      <c r="M72" s="53"/>
    </row>
    <row r="73" spans="3:13">
      <c r="C73" s="52" t="s">
        <v>276</v>
      </c>
      <c r="D73" s="52"/>
      <c r="E73" s="52"/>
      <c r="F73" s="52"/>
      <c r="G73" s="52"/>
      <c r="H73" s="52"/>
      <c r="I73" s="52"/>
      <c r="J73" s="52"/>
      <c r="K73" s="52"/>
      <c r="L73" s="52"/>
      <c r="M73" s="52"/>
    </row>
    <row r="74" spans="3:13">
      <c r="C74" s="42" t="s">
        <v>277</v>
      </c>
      <c r="D74" s="42" t="s">
        <v>277</v>
      </c>
      <c r="E74" s="42" t="s">
        <v>277</v>
      </c>
      <c r="F74" s="42" t="s">
        <v>277</v>
      </c>
      <c r="G74" s="42" t="s">
        <v>277</v>
      </c>
      <c r="H74" s="42" t="s">
        <v>277</v>
      </c>
      <c r="I74" s="42" t="s">
        <v>277</v>
      </c>
      <c r="J74" s="42" t="s">
        <v>277</v>
      </c>
      <c r="K74" s="42" t="s">
        <v>277</v>
      </c>
      <c r="L74" s="42" t="s">
        <v>277</v>
      </c>
      <c r="M74" s="42" t="s">
        <v>277</v>
      </c>
    </row>
    <row r="75" spans="3:13">
      <c r="C75" s="42" t="s">
        <v>277</v>
      </c>
      <c r="D75" s="42" t="s">
        <v>277</v>
      </c>
      <c r="E75" s="42" t="s">
        <v>277</v>
      </c>
      <c r="F75" s="42" t="s">
        <v>277</v>
      </c>
      <c r="G75" s="42" t="s">
        <v>277</v>
      </c>
      <c r="H75" s="42" t="s">
        <v>277</v>
      </c>
      <c r="I75" s="42" t="s">
        <v>277</v>
      </c>
      <c r="J75" s="42" t="s">
        <v>277</v>
      </c>
      <c r="K75" s="42" t="s">
        <v>277</v>
      </c>
      <c r="L75" s="42" t="s">
        <v>277</v>
      </c>
      <c r="M75" s="42" t="s">
        <v>277</v>
      </c>
    </row>
    <row r="76" spans="3:13">
      <c r="C76" s="55" t="s">
        <v>278</v>
      </c>
      <c r="D76" s="55"/>
      <c r="E76" s="55"/>
      <c r="F76" s="55"/>
      <c r="G76" s="55"/>
      <c r="H76" s="55"/>
      <c r="I76" s="55"/>
      <c r="J76" s="55"/>
      <c r="K76" s="55"/>
      <c r="L76" s="55"/>
      <c r="M76" s="55"/>
    </row>
    <row r="77" spans="3:13">
      <c r="C77" s="42" t="s">
        <v>277</v>
      </c>
      <c r="D77" s="42" t="s">
        <v>277</v>
      </c>
      <c r="E77" s="42" t="s">
        <v>277</v>
      </c>
      <c r="F77" s="42" t="s">
        <v>277</v>
      </c>
      <c r="G77" s="42" t="s">
        <v>277</v>
      </c>
      <c r="H77" s="42" t="s">
        <v>277</v>
      </c>
      <c r="I77" s="42" t="s">
        <v>277</v>
      </c>
      <c r="J77" s="42" t="s">
        <v>277</v>
      </c>
      <c r="K77" s="42" t="s">
        <v>277</v>
      </c>
      <c r="L77" s="42" t="s">
        <v>277</v>
      </c>
      <c r="M77" s="42" t="s">
        <v>277</v>
      </c>
    </row>
    <row r="78" spans="3:13">
      <c r="C78" s="42" t="s">
        <v>277</v>
      </c>
      <c r="D78" s="42" t="s">
        <v>277</v>
      </c>
      <c r="E78" s="42" t="s">
        <v>277</v>
      </c>
      <c r="F78" s="42" t="s">
        <v>277</v>
      </c>
      <c r="G78" s="42" t="s">
        <v>277</v>
      </c>
      <c r="H78" s="42" t="s">
        <v>277</v>
      </c>
      <c r="I78" s="42" t="s">
        <v>277</v>
      </c>
      <c r="J78" s="42" t="s">
        <v>277</v>
      </c>
      <c r="K78" s="42" t="s">
        <v>277</v>
      </c>
      <c r="L78" s="42" t="s">
        <v>277</v>
      </c>
      <c r="M78" s="42" t="s">
        <v>277</v>
      </c>
    </row>
    <row r="79" spans="3:13">
      <c r="C79" s="42" t="s">
        <v>277</v>
      </c>
      <c r="D79" s="42" t="s">
        <v>277</v>
      </c>
      <c r="E79" s="42" t="s">
        <v>277</v>
      </c>
      <c r="F79" s="42" t="s">
        <v>277</v>
      </c>
      <c r="G79" s="42" t="s">
        <v>277</v>
      </c>
      <c r="H79" s="42" t="s">
        <v>277</v>
      </c>
      <c r="I79" s="42" t="s">
        <v>277</v>
      </c>
      <c r="J79" s="42" t="s">
        <v>277</v>
      </c>
      <c r="K79" s="42" t="s">
        <v>277</v>
      </c>
      <c r="L79" s="42" t="s">
        <v>277</v>
      </c>
      <c r="M79" s="42" t="s">
        <v>277</v>
      </c>
    </row>
  </sheetData>
  <mergeCells count="16">
    <mergeCell ref="C71:M71"/>
    <mergeCell ref="C72:M72"/>
    <mergeCell ref="C73:M73"/>
    <mergeCell ref="C76:M76"/>
    <mergeCell ref="C67:M67"/>
    <mergeCell ref="C68:M68"/>
    <mergeCell ref="C69:M69"/>
    <mergeCell ref="C70:M70"/>
    <mergeCell ref="F7:G9"/>
    <mergeCell ref="H7:I9"/>
    <mergeCell ref="J7:K9"/>
    <mergeCell ref="L7:M9"/>
    <mergeCell ref="B2:M3"/>
    <mergeCell ref="B4:M4"/>
    <mergeCell ref="B7:C9"/>
    <mergeCell ref="D7:E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2026-07-28T02:28:30Z</dcterms:created>
  <dcterms:modified xsi:type="dcterms:W3CDTF">2026-07-28T17:59:29Z</dcterms:modified>
  <cp:category/>
  <cp:contentStatus/>
</cp:coreProperties>
</file>